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bglushuk\Desktop\"/>
    </mc:Choice>
  </mc:AlternateContent>
  <xr:revisionPtr revIDLastSave="0" documentId="13_ncr:1_{4B928C38-2CC6-4E8A-9788-89F60AFD13CA}" xr6:coauthVersionLast="47" xr6:coauthVersionMax="47" xr10:uidLastSave="{00000000-0000-0000-0000-000000000000}"/>
  <bookViews>
    <workbookView xWindow="-108" yWindow="-108" windowWidth="23256" windowHeight="12576" firstSheet="10" activeTab="14" xr2:uid="{10EC7CAE-BDD1-48FC-AD5E-05D0D8B79DC0}"/>
  </bookViews>
  <sheets>
    <sheet name="Справочник" sheetId="1" state="hidden" r:id="rId1"/>
    <sheet name="Линия 1" sheetId="2" r:id="rId2"/>
    <sheet name="Линия 2" sheetId="3" r:id="rId3"/>
    <sheet name="Линия 3" sheetId="4" r:id="rId4"/>
    <sheet name="Линия 4" sheetId="5" r:id="rId5"/>
    <sheet name="Линия 5 Сиропы" sheetId="6" r:id="rId6"/>
    <sheet name="Линия 6 В in B" sheetId="7" r:id="rId7"/>
    <sheet name="Линия 7 Топинги" sheetId="8" r:id="rId8"/>
    <sheet name="Линия 9 Пюре" sheetId="9" r:id="rId9"/>
    <sheet name="Линия 8 Соусы" sheetId="10" r:id="rId10"/>
    <sheet name="Линия 10 ПЭТ" sheetId="11" r:id="rId11"/>
    <sheet name="Линия 11 Лимонады" sheetId="12" r:id="rId12"/>
    <sheet name="Линия 12 КС" sheetId="13" r:id="rId13"/>
    <sheet name="Переборка До-До" sheetId="14" r:id="rId14"/>
    <sheet name="Расписание по сменам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11" l="1"/>
  <c r="B233" i="11" s="1"/>
  <c r="A233" i="11"/>
  <c r="H11" i="14"/>
  <c r="C11" i="14"/>
  <c r="B11" i="14" s="1"/>
  <c r="C10" i="14"/>
  <c r="B10" i="14" s="1"/>
  <c r="C9" i="14"/>
  <c r="B9" i="14" s="1"/>
  <c r="C8" i="14"/>
  <c r="C7" i="14"/>
  <c r="C6" i="14"/>
  <c r="C5" i="14"/>
  <c r="C4" i="14"/>
  <c r="C3" i="14"/>
  <c r="B3" i="14" s="1"/>
  <c r="A4" i="14" s="1"/>
  <c r="B4" i="14" s="1"/>
  <c r="A5" i="14" s="1"/>
  <c r="B5" i="14" s="1"/>
  <c r="A6" i="14" s="1"/>
  <c r="B6" i="14" s="1"/>
  <c r="A7" i="14" s="1"/>
  <c r="B7" i="14" s="1"/>
  <c r="A8" i="14" s="1"/>
  <c r="B8" i="14" s="1"/>
  <c r="H44" i="13"/>
  <c r="C44" i="13"/>
  <c r="B44" i="13" s="1"/>
  <c r="H43" i="13"/>
  <c r="C43" i="13"/>
  <c r="H42" i="13"/>
  <c r="C42" i="13"/>
  <c r="H41" i="13"/>
  <c r="C41" i="13"/>
  <c r="H40" i="13"/>
  <c r="C40" i="13"/>
  <c r="B40" i="13" s="1"/>
  <c r="A41" i="13" s="1"/>
  <c r="B41" i="13" s="1"/>
  <c r="A42" i="13" s="1"/>
  <c r="B42" i="13" s="1"/>
  <c r="A43" i="13" s="1"/>
  <c r="B43" i="13" s="1"/>
  <c r="H39" i="13"/>
  <c r="C39" i="13"/>
  <c r="H38" i="13"/>
  <c r="C38" i="13"/>
  <c r="B38" i="13" s="1"/>
  <c r="A39" i="13" s="1"/>
  <c r="B39" i="13" s="1"/>
  <c r="H37" i="13"/>
  <c r="C37" i="13"/>
  <c r="H36" i="13"/>
  <c r="C36" i="13"/>
  <c r="H35" i="13"/>
  <c r="C35" i="13"/>
  <c r="H34" i="13"/>
  <c r="C34" i="13"/>
  <c r="H33" i="13"/>
  <c r="C33" i="13"/>
  <c r="H32" i="13"/>
  <c r="C32" i="13"/>
  <c r="H31" i="13"/>
  <c r="C31" i="13"/>
  <c r="H30" i="13"/>
  <c r="C30" i="13"/>
  <c r="H29" i="13"/>
  <c r="C29" i="13"/>
  <c r="B29" i="13" s="1"/>
  <c r="A30" i="13" s="1"/>
  <c r="B30" i="13" s="1"/>
  <c r="A31" i="13" s="1"/>
  <c r="B31" i="13" s="1"/>
  <c r="A32" i="13" s="1"/>
  <c r="B32" i="13" s="1"/>
  <c r="A33" i="13" s="1"/>
  <c r="B33" i="13" s="1"/>
  <c r="A34" i="13" s="1"/>
  <c r="B34" i="13" s="1"/>
  <c r="A35" i="13" s="1"/>
  <c r="B35" i="13" s="1"/>
  <c r="A36" i="13" s="1"/>
  <c r="B36" i="13" s="1"/>
  <c r="A37" i="13" s="1"/>
  <c r="B37" i="13" s="1"/>
  <c r="H28" i="13"/>
  <c r="C28" i="13"/>
  <c r="H27" i="13"/>
  <c r="C27" i="13"/>
  <c r="H26" i="13"/>
  <c r="C26" i="13"/>
  <c r="H25" i="13"/>
  <c r="C25" i="13"/>
  <c r="H24" i="13"/>
  <c r="C24" i="13"/>
  <c r="H23" i="13"/>
  <c r="C23" i="13"/>
  <c r="H22" i="13"/>
  <c r="C22" i="13"/>
  <c r="B22" i="13" s="1"/>
  <c r="A23" i="13" s="1"/>
  <c r="B23" i="13" s="1"/>
  <c r="A24" i="13" s="1"/>
  <c r="B24" i="13" s="1"/>
  <c r="A25" i="13" s="1"/>
  <c r="B25" i="13" s="1"/>
  <c r="A26" i="13" s="1"/>
  <c r="B26" i="13" s="1"/>
  <c r="A27" i="13" s="1"/>
  <c r="B27" i="13" s="1"/>
  <c r="A28" i="13" s="1"/>
  <c r="B28" i="13" s="1"/>
  <c r="H21" i="13"/>
  <c r="C21" i="13"/>
  <c r="H20" i="13"/>
  <c r="C20" i="13"/>
  <c r="H19" i="13"/>
  <c r="C19" i="13"/>
  <c r="H18" i="13"/>
  <c r="C18" i="13"/>
  <c r="H17" i="13"/>
  <c r="C17" i="13"/>
  <c r="B17" i="13" s="1"/>
  <c r="A18" i="13" s="1"/>
  <c r="B18" i="13" s="1"/>
  <c r="A19" i="13" s="1"/>
  <c r="B19" i="13" s="1"/>
  <c r="A20" i="13" s="1"/>
  <c r="B20" i="13" s="1"/>
  <c r="A21" i="13" s="1"/>
  <c r="B21" i="13" s="1"/>
  <c r="H16" i="13"/>
  <c r="C16" i="13"/>
  <c r="H15" i="13"/>
  <c r="C15" i="13"/>
  <c r="H14" i="13"/>
  <c r="C14" i="13"/>
  <c r="H13" i="13"/>
  <c r="C13" i="13"/>
  <c r="H12" i="13"/>
  <c r="C12" i="13"/>
  <c r="H11" i="13"/>
  <c r="C11" i="13"/>
  <c r="B11" i="13"/>
  <c r="A12" i="13" s="1"/>
  <c r="B12" i="13" s="1"/>
  <c r="A13" i="13" s="1"/>
  <c r="B13" i="13" s="1"/>
  <c r="A14" i="13" s="1"/>
  <c r="B14" i="13" s="1"/>
  <c r="A15" i="13" s="1"/>
  <c r="B15" i="13" s="1"/>
  <c r="A16" i="13" s="1"/>
  <c r="B16" i="13" s="1"/>
  <c r="H10" i="13"/>
  <c r="C10" i="13"/>
  <c r="B10" i="13" s="1"/>
  <c r="H9" i="13"/>
  <c r="C9" i="13"/>
  <c r="H8" i="13"/>
  <c r="C8" i="13"/>
  <c r="H7" i="13"/>
  <c r="C7" i="13"/>
  <c r="B7" i="13"/>
  <c r="A8" i="13" s="1"/>
  <c r="B8" i="13" s="1"/>
  <c r="A9" i="13" s="1"/>
  <c r="B9" i="13" s="1"/>
  <c r="H6" i="13"/>
  <c r="C6" i="13"/>
  <c r="H5" i="13"/>
  <c r="C5" i="13"/>
  <c r="H4" i="13"/>
  <c r="C4" i="13"/>
  <c r="H3" i="13"/>
  <c r="C3" i="13"/>
  <c r="B3" i="13" s="1"/>
  <c r="A4" i="13" s="1"/>
  <c r="B4" i="13" s="1"/>
  <c r="A5" i="13" s="1"/>
  <c r="B5" i="13" s="1"/>
  <c r="A6" i="13" s="1"/>
  <c r="B6" i="13" s="1"/>
  <c r="H39" i="12"/>
  <c r="C39" i="12"/>
  <c r="H38" i="12"/>
  <c r="C38" i="12"/>
  <c r="B38" i="12" s="1"/>
  <c r="A39" i="12" s="1"/>
  <c r="B39" i="12" s="1"/>
  <c r="H37" i="12"/>
  <c r="C37" i="12"/>
  <c r="H36" i="12"/>
  <c r="C36" i="12"/>
  <c r="H35" i="12"/>
  <c r="C35" i="12"/>
  <c r="H34" i="12"/>
  <c r="C34" i="12"/>
  <c r="H33" i="12"/>
  <c r="C33" i="12"/>
  <c r="H32" i="12"/>
  <c r="C32" i="12"/>
  <c r="H31" i="12"/>
  <c r="C31" i="12"/>
  <c r="H30" i="12"/>
  <c r="C30" i="12"/>
  <c r="H29" i="12"/>
  <c r="C29" i="12"/>
  <c r="B29" i="12" s="1"/>
  <c r="A30" i="12" s="1"/>
  <c r="B30" i="12" s="1"/>
  <c r="A31" i="12" s="1"/>
  <c r="B31" i="12" s="1"/>
  <c r="A32" i="12" s="1"/>
  <c r="B32" i="12" s="1"/>
  <c r="A33" i="12" s="1"/>
  <c r="B33" i="12" s="1"/>
  <c r="A34" i="12" s="1"/>
  <c r="B34" i="12" s="1"/>
  <c r="A35" i="12" s="1"/>
  <c r="B35" i="12" s="1"/>
  <c r="A36" i="12" s="1"/>
  <c r="B36" i="12" s="1"/>
  <c r="A37" i="12" s="1"/>
  <c r="B37" i="12" s="1"/>
  <c r="H28" i="12"/>
  <c r="C28" i="12"/>
  <c r="H27" i="12"/>
  <c r="C27" i="12"/>
  <c r="H26" i="12"/>
  <c r="C26" i="12"/>
  <c r="H25" i="12"/>
  <c r="C25" i="12"/>
  <c r="H24" i="12"/>
  <c r="C24" i="12"/>
  <c r="H23" i="12"/>
  <c r="C23" i="12"/>
  <c r="H22" i="12"/>
  <c r="C22" i="12"/>
  <c r="B22" i="12" s="1"/>
  <c r="A23" i="12" s="1"/>
  <c r="B23" i="12" s="1"/>
  <c r="A24" i="12" s="1"/>
  <c r="B24" i="12" s="1"/>
  <c r="A25" i="12" s="1"/>
  <c r="B25" i="12" s="1"/>
  <c r="A26" i="12" s="1"/>
  <c r="B26" i="12" s="1"/>
  <c r="A27" i="12" s="1"/>
  <c r="B27" i="12" s="1"/>
  <c r="A28" i="12" s="1"/>
  <c r="B28" i="12" s="1"/>
  <c r="H21" i="12"/>
  <c r="C21" i="12"/>
  <c r="H20" i="12"/>
  <c r="C20" i="12"/>
  <c r="H19" i="12"/>
  <c r="C19" i="12"/>
  <c r="H18" i="12"/>
  <c r="C18" i="12"/>
  <c r="H17" i="12"/>
  <c r="C17" i="12"/>
  <c r="B17" i="12"/>
  <c r="A18" i="12" s="1"/>
  <c r="B18" i="12" s="1"/>
  <c r="A19" i="12" s="1"/>
  <c r="B19" i="12" s="1"/>
  <c r="A20" i="12" s="1"/>
  <c r="B20" i="12" s="1"/>
  <c r="A21" i="12" s="1"/>
  <c r="B21" i="12" s="1"/>
  <c r="H16" i="12"/>
  <c r="C16" i="12"/>
  <c r="H15" i="12"/>
  <c r="C15" i="12"/>
  <c r="H14" i="12"/>
  <c r="C14" i="12"/>
  <c r="H13" i="12"/>
  <c r="C13" i="12"/>
  <c r="H12" i="12"/>
  <c r="C12" i="12"/>
  <c r="H11" i="12"/>
  <c r="C11" i="12"/>
  <c r="B11" i="12" s="1"/>
  <c r="A12" i="12" s="1"/>
  <c r="B12" i="12" s="1"/>
  <c r="A13" i="12" s="1"/>
  <c r="B13" i="12" s="1"/>
  <c r="A14" i="12" s="1"/>
  <c r="B14" i="12" s="1"/>
  <c r="A15" i="12" s="1"/>
  <c r="B15" i="12" s="1"/>
  <c r="A16" i="12" s="1"/>
  <c r="B16" i="12" s="1"/>
  <c r="H10" i="12"/>
  <c r="C10" i="12"/>
  <c r="B10" i="12" s="1"/>
  <c r="H9" i="12"/>
  <c r="C9" i="12"/>
  <c r="H8" i="12"/>
  <c r="C8" i="12"/>
  <c r="H7" i="12"/>
  <c r="C7" i="12"/>
  <c r="B7" i="12"/>
  <c r="A8" i="12" s="1"/>
  <c r="B8" i="12" s="1"/>
  <c r="A9" i="12" s="1"/>
  <c r="B9" i="12" s="1"/>
  <c r="H6" i="12"/>
  <c r="C6" i="12"/>
  <c r="H5" i="12"/>
  <c r="C5" i="12"/>
  <c r="H4" i="12"/>
  <c r="C4" i="12"/>
  <c r="A4" i="12"/>
  <c r="B4" i="12" s="1"/>
  <c r="A5" i="12" s="1"/>
  <c r="B5" i="12" s="1"/>
  <c r="A6" i="12" s="1"/>
  <c r="B6" i="12" s="1"/>
  <c r="H3" i="12"/>
  <c r="C3" i="12"/>
  <c r="B3" i="12"/>
  <c r="H236" i="11"/>
  <c r="C236" i="11"/>
  <c r="H235" i="11"/>
  <c r="C235" i="11"/>
  <c r="H234" i="11"/>
  <c r="C234" i="11"/>
  <c r="H233" i="11"/>
  <c r="H232" i="11"/>
  <c r="C232" i="11"/>
  <c r="H231" i="11"/>
  <c r="C231" i="11"/>
  <c r="H230" i="11"/>
  <c r="C230" i="11"/>
  <c r="H229" i="11"/>
  <c r="C229" i="11"/>
  <c r="H228" i="11"/>
  <c r="C228" i="11"/>
  <c r="H227" i="11"/>
  <c r="C227" i="11"/>
  <c r="H226" i="11"/>
  <c r="C226" i="11"/>
  <c r="H225" i="11"/>
  <c r="C225" i="11"/>
  <c r="H224" i="11"/>
  <c r="C224" i="11"/>
  <c r="H223" i="11"/>
  <c r="C223" i="11"/>
  <c r="H222" i="11"/>
  <c r="C222" i="11"/>
  <c r="H221" i="11"/>
  <c r="C221" i="11"/>
  <c r="H220" i="11"/>
  <c r="C220" i="11"/>
  <c r="H219" i="11"/>
  <c r="C219" i="11"/>
  <c r="H218" i="11"/>
  <c r="C218" i="11"/>
  <c r="H217" i="11"/>
  <c r="C217" i="11"/>
  <c r="H216" i="11"/>
  <c r="C216" i="11"/>
  <c r="H215" i="11"/>
  <c r="C215" i="11"/>
  <c r="H214" i="11"/>
  <c r="C214" i="11"/>
  <c r="H213" i="11"/>
  <c r="C213" i="11"/>
  <c r="H212" i="11"/>
  <c r="C212" i="11"/>
  <c r="H211" i="11"/>
  <c r="C211" i="11"/>
  <c r="H210" i="11"/>
  <c r="C210" i="11"/>
  <c r="H209" i="11"/>
  <c r="C209" i="11"/>
  <c r="H208" i="11"/>
  <c r="C208" i="11"/>
  <c r="H207" i="11"/>
  <c r="C207" i="11"/>
  <c r="H206" i="11"/>
  <c r="C206" i="11"/>
  <c r="H205" i="11"/>
  <c r="C205" i="11"/>
  <c r="H204" i="11"/>
  <c r="C204" i="11"/>
  <c r="H203" i="11"/>
  <c r="C203" i="11"/>
  <c r="H202" i="11"/>
  <c r="C202" i="11"/>
  <c r="H201" i="11"/>
  <c r="C201" i="11"/>
  <c r="H200" i="11"/>
  <c r="C200" i="11"/>
  <c r="H199" i="11"/>
  <c r="C199" i="11"/>
  <c r="H198" i="11"/>
  <c r="C198" i="11"/>
  <c r="H197" i="11"/>
  <c r="C197" i="11"/>
  <c r="H196" i="11"/>
  <c r="C196" i="11"/>
  <c r="H195" i="11"/>
  <c r="C195" i="11"/>
  <c r="H194" i="11"/>
  <c r="C194" i="11"/>
  <c r="H193" i="11"/>
  <c r="C193" i="11"/>
  <c r="H192" i="11"/>
  <c r="C192" i="11"/>
  <c r="H191" i="11"/>
  <c r="C191" i="11"/>
  <c r="H190" i="11"/>
  <c r="C190" i="11"/>
  <c r="A190" i="11"/>
  <c r="B190" i="11" s="1"/>
  <c r="A191" i="11" s="1"/>
  <c r="B191" i="11" s="1"/>
  <c r="A192" i="11" s="1"/>
  <c r="B192" i="11" s="1"/>
  <c r="A193" i="11" s="1"/>
  <c r="B193" i="11" s="1"/>
  <c r="A194" i="11" s="1"/>
  <c r="B194" i="11" s="1"/>
  <c r="A195" i="11" s="1"/>
  <c r="B195" i="11" s="1"/>
  <c r="A196" i="11" s="1"/>
  <c r="B196" i="11" s="1"/>
  <c r="A197" i="11" s="1"/>
  <c r="B197" i="11" s="1"/>
  <c r="A198" i="11" s="1"/>
  <c r="B198" i="11" s="1"/>
  <c r="A199" i="11" s="1"/>
  <c r="B199" i="11" s="1"/>
  <c r="A200" i="11" s="1"/>
  <c r="B200" i="11" s="1"/>
  <c r="A201" i="11" s="1"/>
  <c r="B201" i="11" s="1"/>
  <c r="A202" i="11" s="1"/>
  <c r="B202" i="11" s="1"/>
  <c r="A203" i="11" s="1"/>
  <c r="B203" i="11" s="1"/>
  <c r="A204" i="11" s="1"/>
  <c r="B204" i="11" s="1"/>
  <c r="A205" i="11" s="1"/>
  <c r="B205" i="11" s="1"/>
  <c r="A206" i="11" s="1"/>
  <c r="B206" i="11" s="1"/>
  <c r="A207" i="11" s="1"/>
  <c r="B207" i="11" s="1"/>
  <c r="A208" i="11" s="1"/>
  <c r="B208" i="11" s="1"/>
  <c r="A209" i="11" s="1"/>
  <c r="B209" i="11" s="1"/>
  <c r="A210" i="11" s="1"/>
  <c r="B210" i="11" s="1"/>
  <c r="A211" i="11" s="1"/>
  <c r="B211" i="11" s="1"/>
  <c r="A212" i="11" s="1"/>
  <c r="B212" i="11" s="1"/>
  <c r="A213" i="11" s="1"/>
  <c r="B213" i="11" s="1"/>
  <c r="A214" i="11" s="1"/>
  <c r="B214" i="11" s="1"/>
  <c r="A215" i="11" s="1"/>
  <c r="B215" i="11" s="1"/>
  <c r="A216" i="11" s="1"/>
  <c r="B216" i="11" s="1"/>
  <c r="A217" i="11" s="1"/>
  <c r="B217" i="11" s="1"/>
  <c r="A218" i="11" s="1"/>
  <c r="B218" i="11" s="1"/>
  <c r="A219" i="11" s="1"/>
  <c r="B219" i="11" s="1"/>
  <c r="A220" i="11" s="1"/>
  <c r="B220" i="11" s="1"/>
  <c r="A221" i="11" s="1"/>
  <c r="B221" i="11" s="1"/>
  <c r="A222" i="11" s="1"/>
  <c r="B222" i="11" s="1"/>
  <c r="A223" i="11" s="1"/>
  <c r="B223" i="11" s="1"/>
  <c r="A224" i="11" s="1"/>
  <c r="B224" i="11" s="1"/>
  <c r="A225" i="11" s="1"/>
  <c r="B225" i="11" s="1"/>
  <c r="A226" i="11" s="1"/>
  <c r="B226" i="11" s="1"/>
  <c r="A227" i="11" s="1"/>
  <c r="B227" i="11" s="1"/>
  <c r="A228" i="11" s="1"/>
  <c r="B228" i="11" s="1"/>
  <c r="A229" i="11" s="1"/>
  <c r="B229" i="11" s="1"/>
  <c r="A230" i="11" s="1"/>
  <c r="B230" i="11" s="1"/>
  <c r="A231" i="11" s="1"/>
  <c r="B231" i="11" s="1"/>
  <c r="A232" i="11" s="1"/>
  <c r="B232" i="11" s="1"/>
  <c r="H189" i="11"/>
  <c r="C189" i="11"/>
  <c r="H188" i="11"/>
  <c r="C188" i="11"/>
  <c r="H187" i="11"/>
  <c r="C187" i="11"/>
  <c r="H186" i="11"/>
  <c r="C186" i="11"/>
  <c r="H185" i="11"/>
  <c r="C185" i="11"/>
  <c r="A185" i="11"/>
  <c r="B185" i="11" s="1"/>
  <c r="A186" i="11" s="1"/>
  <c r="B186" i="11" s="1"/>
  <c r="A187" i="11" s="1"/>
  <c r="B187" i="11" s="1"/>
  <c r="A188" i="11" s="1"/>
  <c r="B188" i="11" s="1"/>
  <c r="A189" i="11" s="1"/>
  <c r="B189" i="11" s="1"/>
  <c r="H184" i="11"/>
  <c r="C184" i="11"/>
  <c r="H183" i="11"/>
  <c r="C183" i="11"/>
  <c r="H182" i="11"/>
  <c r="C182" i="11"/>
  <c r="H181" i="11"/>
  <c r="C181" i="11"/>
  <c r="H180" i="11"/>
  <c r="C180" i="11"/>
  <c r="B180" i="11"/>
  <c r="A181" i="11" s="1"/>
  <c r="B181" i="11" s="1"/>
  <c r="A182" i="11" s="1"/>
  <c r="B182" i="11" s="1"/>
  <c r="A183" i="11" s="1"/>
  <c r="B183" i="11" s="1"/>
  <c r="A184" i="11" s="1"/>
  <c r="H179" i="11"/>
  <c r="C179" i="11"/>
  <c r="H178" i="11"/>
  <c r="C178" i="11"/>
  <c r="H177" i="11"/>
  <c r="C177" i="11"/>
  <c r="A177" i="11"/>
  <c r="B177" i="11" s="1"/>
  <c r="A178" i="11" s="1"/>
  <c r="B178" i="11" s="1"/>
  <c r="A179" i="11" s="1"/>
  <c r="B179" i="11" s="1"/>
  <c r="H176" i="11"/>
  <c r="C176" i="11"/>
  <c r="B176" i="11"/>
  <c r="H175" i="11"/>
  <c r="C175" i="11"/>
  <c r="H174" i="11"/>
  <c r="C174" i="11"/>
  <c r="H173" i="11"/>
  <c r="C173" i="11"/>
  <c r="H172" i="11"/>
  <c r="C172" i="11"/>
  <c r="H171" i="11"/>
  <c r="C171" i="11"/>
  <c r="H170" i="11"/>
  <c r="C170" i="11"/>
  <c r="H169" i="11"/>
  <c r="C169" i="11"/>
  <c r="H168" i="11"/>
  <c r="C168" i="11"/>
  <c r="H167" i="11"/>
  <c r="C167" i="11"/>
  <c r="H166" i="11"/>
  <c r="C166" i="11"/>
  <c r="H165" i="11"/>
  <c r="C165" i="11"/>
  <c r="H164" i="11"/>
  <c r="C164" i="11"/>
  <c r="H163" i="11"/>
  <c r="C163" i="11"/>
  <c r="H162" i="11"/>
  <c r="C162" i="11"/>
  <c r="B162" i="11" s="1"/>
  <c r="A163" i="11" s="1"/>
  <c r="B163" i="11" s="1"/>
  <c r="A164" i="11" s="1"/>
  <c r="B164" i="11" s="1"/>
  <c r="A165" i="11" s="1"/>
  <c r="B165" i="11" s="1"/>
  <c r="A166" i="11" s="1"/>
  <c r="B166" i="11" s="1"/>
  <c r="A167" i="11" s="1"/>
  <c r="B167" i="11" s="1"/>
  <c r="A168" i="11" s="1"/>
  <c r="B168" i="11" s="1"/>
  <c r="A169" i="11" s="1"/>
  <c r="B169" i="11" s="1"/>
  <c r="A170" i="11" s="1"/>
  <c r="B170" i="11" s="1"/>
  <c r="A171" i="11" s="1"/>
  <c r="B171" i="11" s="1"/>
  <c r="A172" i="11" s="1"/>
  <c r="B172" i="11" s="1"/>
  <c r="A173" i="11" s="1"/>
  <c r="B173" i="11" s="1"/>
  <c r="A174" i="11" s="1"/>
  <c r="B174" i="11" s="1"/>
  <c r="A175" i="11" s="1"/>
  <c r="B175" i="11" s="1"/>
  <c r="H161" i="11"/>
  <c r="C161" i="11"/>
  <c r="H160" i="11"/>
  <c r="C160" i="11"/>
  <c r="G159" i="11"/>
  <c r="H159" i="11" s="1"/>
  <c r="C159" i="11"/>
  <c r="H158" i="11"/>
  <c r="C158" i="11"/>
  <c r="H157" i="11"/>
  <c r="C157" i="11"/>
  <c r="H156" i="11"/>
  <c r="C156" i="11"/>
  <c r="B156" i="11" s="1"/>
  <c r="A157" i="11" s="1"/>
  <c r="B157" i="11" s="1"/>
  <c r="A158" i="11" s="1"/>
  <c r="B158" i="11" s="1"/>
  <c r="A159" i="11" s="1"/>
  <c r="B159" i="11" s="1"/>
  <c r="A160" i="11" s="1"/>
  <c r="B160" i="11" s="1"/>
  <c r="A161" i="11" s="1"/>
  <c r="B161" i="11" s="1"/>
  <c r="G155" i="11"/>
  <c r="H155" i="11" s="1"/>
  <c r="C155" i="11"/>
  <c r="H154" i="11"/>
  <c r="C154" i="11"/>
  <c r="H153" i="11"/>
  <c r="C153" i="11"/>
  <c r="H152" i="11"/>
  <c r="C152" i="11"/>
  <c r="H151" i="11"/>
  <c r="C151" i="11"/>
  <c r="H150" i="11"/>
  <c r="C150" i="11"/>
  <c r="H149" i="11"/>
  <c r="G149" i="11"/>
  <c r="C149" i="11"/>
  <c r="H148" i="11"/>
  <c r="C148" i="11"/>
  <c r="H147" i="11"/>
  <c r="C147" i="11"/>
  <c r="H146" i="11"/>
  <c r="C146" i="11"/>
  <c r="A146" i="11"/>
  <c r="B146" i="11" s="1"/>
  <c r="A147" i="11" s="1"/>
  <c r="B147" i="11" s="1"/>
  <c r="A148" i="11" s="1"/>
  <c r="B148" i="11" s="1"/>
  <c r="A149" i="11" s="1"/>
  <c r="B149" i="11" s="1"/>
  <c r="A150" i="11" s="1"/>
  <c r="B150" i="11" s="1"/>
  <c r="A151" i="11" s="1"/>
  <c r="B151" i="11" s="1"/>
  <c r="A152" i="11" s="1"/>
  <c r="B152" i="11" s="1"/>
  <c r="A153" i="11" s="1"/>
  <c r="B153" i="11" s="1"/>
  <c r="A154" i="11" s="1"/>
  <c r="B154" i="11" s="1"/>
  <c r="A155" i="11" s="1"/>
  <c r="B155" i="11" s="1"/>
  <c r="H145" i="11"/>
  <c r="G145" i="11"/>
  <c r="C145" i="11"/>
  <c r="B145" i="11"/>
  <c r="H144" i="11"/>
  <c r="C144" i="11"/>
  <c r="H143" i="11"/>
  <c r="G143" i="11"/>
  <c r="C143" i="11"/>
  <c r="H142" i="11"/>
  <c r="C142" i="11"/>
  <c r="B142" i="11"/>
  <c r="A143" i="11" s="1"/>
  <c r="B143" i="11" s="1"/>
  <c r="A144" i="11" s="1"/>
  <c r="B144" i="11" s="1"/>
  <c r="H141" i="11"/>
  <c r="G141" i="11"/>
  <c r="C141" i="11"/>
  <c r="H140" i="11"/>
  <c r="C140" i="11"/>
  <c r="H139" i="11"/>
  <c r="C139" i="11"/>
  <c r="H138" i="11"/>
  <c r="C138" i="11"/>
  <c r="G137" i="11"/>
  <c r="H137" i="11" s="1"/>
  <c r="C137" i="11"/>
  <c r="H136" i="11"/>
  <c r="C136" i="11"/>
  <c r="G135" i="11"/>
  <c r="H135" i="11" s="1"/>
  <c r="C135" i="11"/>
  <c r="H134" i="11"/>
  <c r="C134" i="11"/>
  <c r="B134" i="11" s="1"/>
  <c r="A135" i="11" s="1"/>
  <c r="B135" i="11" s="1"/>
  <c r="A136" i="11" s="1"/>
  <c r="B136" i="11" s="1"/>
  <c r="A137" i="11" s="1"/>
  <c r="B137" i="11" s="1"/>
  <c r="A138" i="11" s="1"/>
  <c r="B138" i="11" s="1"/>
  <c r="A139" i="11" s="1"/>
  <c r="B139" i="11" s="1"/>
  <c r="A140" i="11" s="1"/>
  <c r="B140" i="11" s="1"/>
  <c r="A141" i="11" s="1"/>
  <c r="B141" i="11" s="1"/>
  <c r="G133" i="11"/>
  <c r="H133" i="11" s="1"/>
  <c r="C133" i="11"/>
  <c r="H132" i="11"/>
  <c r="C132" i="11"/>
  <c r="H131" i="11"/>
  <c r="C131" i="11"/>
  <c r="H130" i="11"/>
  <c r="C130" i="11"/>
  <c r="B130" i="11" s="1"/>
  <c r="A131" i="11" s="1"/>
  <c r="B131" i="11" s="1"/>
  <c r="A132" i="11" s="1"/>
  <c r="B132" i="11" s="1"/>
  <c r="A133" i="11" s="1"/>
  <c r="B133" i="11" s="1"/>
  <c r="G129" i="11"/>
  <c r="H129" i="11" s="1"/>
  <c r="C129" i="11"/>
  <c r="H128" i="11"/>
  <c r="C128" i="11"/>
  <c r="H127" i="11"/>
  <c r="G127" i="11"/>
  <c r="C127" i="11"/>
  <c r="H126" i="11"/>
  <c r="C126" i="11"/>
  <c r="H125" i="11"/>
  <c r="G125" i="11"/>
  <c r="C125" i="11"/>
  <c r="H124" i="11"/>
  <c r="C124" i="11"/>
  <c r="H123" i="11"/>
  <c r="C123" i="11"/>
  <c r="H122" i="11"/>
  <c r="C122" i="11"/>
  <c r="G121" i="11"/>
  <c r="H121" i="11" s="1"/>
  <c r="C121" i="11"/>
  <c r="H120" i="11"/>
  <c r="C120" i="11"/>
  <c r="G119" i="11"/>
  <c r="H119" i="11" s="1"/>
  <c r="C119" i="11"/>
  <c r="H118" i="11"/>
  <c r="C118" i="11"/>
  <c r="H117" i="11"/>
  <c r="G117" i="11"/>
  <c r="C117" i="11"/>
  <c r="H116" i="11"/>
  <c r="C116" i="11"/>
  <c r="H115" i="11"/>
  <c r="G115" i="11"/>
  <c r="C115" i="11"/>
  <c r="H114" i="11"/>
  <c r="C114" i="11"/>
  <c r="G113" i="11"/>
  <c r="H113" i="11" s="1"/>
  <c r="C113" i="11"/>
  <c r="H112" i="11"/>
  <c r="C112" i="11"/>
  <c r="H111" i="11"/>
  <c r="C111" i="11"/>
  <c r="H110" i="11"/>
  <c r="C110" i="11"/>
  <c r="G109" i="11"/>
  <c r="H109" i="11" s="1"/>
  <c r="C109" i="11"/>
  <c r="H108" i="11"/>
  <c r="C108" i="11"/>
  <c r="H107" i="11"/>
  <c r="G107" i="11"/>
  <c r="C107" i="11"/>
  <c r="H106" i="11"/>
  <c r="C106" i="11"/>
  <c r="H105" i="11"/>
  <c r="G105" i="11"/>
  <c r="C105" i="11"/>
  <c r="H104" i="11"/>
  <c r="C104" i="11"/>
  <c r="G103" i="11"/>
  <c r="H103" i="11" s="1"/>
  <c r="C103" i="11"/>
  <c r="H102" i="11"/>
  <c r="C102" i="11"/>
  <c r="G101" i="11"/>
  <c r="H101" i="11" s="1"/>
  <c r="C101" i="11"/>
  <c r="H100" i="11"/>
  <c r="C100" i="11"/>
  <c r="B100" i="11" s="1"/>
  <c r="A101" i="11" s="1"/>
  <c r="B101" i="11" s="1"/>
  <c r="A102" i="11" s="1"/>
  <c r="B102" i="11" s="1"/>
  <c r="A103" i="11" s="1"/>
  <c r="B103" i="11" s="1"/>
  <c r="A104" i="11" s="1"/>
  <c r="B104" i="11" s="1"/>
  <c r="A105" i="11" s="1"/>
  <c r="B105" i="11" s="1"/>
  <c r="A106" i="11" s="1"/>
  <c r="B106" i="11" s="1"/>
  <c r="A107" i="11" s="1"/>
  <c r="B107" i="11" s="1"/>
  <c r="A108" i="11" s="1"/>
  <c r="B108" i="11" s="1"/>
  <c r="A109" i="11" s="1"/>
  <c r="B109" i="11" s="1"/>
  <c r="A110" i="11" s="1"/>
  <c r="B110" i="11" s="1"/>
  <c r="A111" i="11" s="1"/>
  <c r="B111" i="11" s="1"/>
  <c r="A112" i="11" s="1"/>
  <c r="B112" i="11" s="1"/>
  <c r="A113" i="11" s="1"/>
  <c r="B113" i="11" s="1"/>
  <c r="A114" i="11" s="1"/>
  <c r="B114" i="11" s="1"/>
  <c r="A115" i="11" s="1"/>
  <c r="B115" i="11" s="1"/>
  <c r="A116" i="11" s="1"/>
  <c r="B116" i="11" s="1"/>
  <c r="A117" i="11" s="1"/>
  <c r="B117" i="11" s="1"/>
  <c r="A118" i="11" s="1"/>
  <c r="B118" i="11" s="1"/>
  <c r="A119" i="11" s="1"/>
  <c r="B119" i="11" s="1"/>
  <c r="A120" i="11" s="1"/>
  <c r="B120" i="11" s="1"/>
  <c r="A121" i="11" s="1"/>
  <c r="B121" i="11" s="1"/>
  <c r="A122" i="11" s="1"/>
  <c r="B122" i="11" s="1"/>
  <c r="A123" i="11" s="1"/>
  <c r="B123" i="11" s="1"/>
  <c r="A124" i="11" s="1"/>
  <c r="B124" i="11" s="1"/>
  <c r="A125" i="11" s="1"/>
  <c r="B125" i="11" s="1"/>
  <c r="A126" i="11" s="1"/>
  <c r="B126" i="11" s="1"/>
  <c r="A127" i="11" s="1"/>
  <c r="B127" i="11" s="1"/>
  <c r="A128" i="11" s="1"/>
  <c r="B128" i="11" s="1"/>
  <c r="A129" i="11" s="1"/>
  <c r="B129" i="11" s="1"/>
  <c r="H99" i="11"/>
  <c r="C99" i="11"/>
  <c r="H98" i="11"/>
  <c r="C98" i="11"/>
  <c r="G97" i="11"/>
  <c r="H97" i="11" s="1"/>
  <c r="C97" i="11"/>
  <c r="H96" i="11"/>
  <c r="C96" i="11"/>
  <c r="H95" i="11"/>
  <c r="G95" i="11"/>
  <c r="C95" i="11"/>
  <c r="A95" i="11"/>
  <c r="B95" i="11" s="1"/>
  <c r="A96" i="11" s="1"/>
  <c r="B96" i="11" s="1"/>
  <c r="A97" i="11" s="1"/>
  <c r="B97" i="11" s="1"/>
  <c r="A98" i="11" s="1"/>
  <c r="B98" i="11" s="1"/>
  <c r="A99" i="11" s="1"/>
  <c r="B99" i="11" s="1"/>
  <c r="H94" i="11"/>
  <c r="C94" i="11"/>
  <c r="B94" i="11"/>
  <c r="H93" i="11"/>
  <c r="G93" i="11"/>
  <c r="C93" i="11"/>
  <c r="H92" i="11"/>
  <c r="C92" i="11"/>
  <c r="H91" i="11"/>
  <c r="G91" i="11"/>
  <c r="C91" i="11"/>
  <c r="H90" i="11"/>
  <c r="C90" i="11"/>
  <c r="H89" i="11"/>
  <c r="G89" i="11"/>
  <c r="C89" i="11"/>
  <c r="H88" i="11"/>
  <c r="C88" i="11"/>
  <c r="H87" i="11"/>
  <c r="C87" i="11"/>
  <c r="H86" i="11"/>
  <c r="C86" i="11"/>
  <c r="G85" i="11"/>
  <c r="H85" i="11" s="1"/>
  <c r="C85" i="11"/>
  <c r="H84" i="11"/>
  <c r="G84" i="11"/>
  <c r="C84" i="11"/>
  <c r="H83" i="11"/>
  <c r="G83" i="11"/>
  <c r="C83" i="11"/>
  <c r="G82" i="11"/>
  <c r="H82" i="11" s="1"/>
  <c r="C82" i="11"/>
  <c r="B82" i="11" s="1"/>
  <c r="A83" i="11" s="1"/>
  <c r="B83" i="11" s="1"/>
  <c r="A84" i="11" s="1"/>
  <c r="B84" i="11" s="1"/>
  <c r="A85" i="11" s="1"/>
  <c r="B85" i="11" s="1"/>
  <c r="A86" i="11" s="1"/>
  <c r="B86" i="11" s="1"/>
  <c r="A87" i="11" s="1"/>
  <c r="B87" i="11" s="1"/>
  <c r="A88" i="11" s="1"/>
  <c r="B88" i="11" s="1"/>
  <c r="A89" i="11" s="1"/>
  <c r="B89" i="11" s="1"/>
  <c r="A90" i="11" s="1"/>
  <c r="B90" i="11" s="1"/>
  <c r="A91" i="11" s="1"/>
  <c r="B91" i="11" s="1"/>
  <c r="A92" i="11" s="1"/>
  <c r="B92" i="11" s="1"/>
  <c r="A93" i="11" s="1"/>
  <c r="B93" i="11" s="1"/>
  <c r="H81" i="11"/>
  <c r="G81" i="11"/>
  <c r="C81" i="11"/>
  <c r="G80" i="11"/>
  <c r="H80" i="11" s="1"/>
  <c r="C80" i="11"/>
  <c r="B80" i="11" s="1"/>
  <c r="A81" i="11" s="1"/>
  <c r="B81" i="11" s="1"/>
  <c r="G79" i="11"/>
  <c r="H79" i="11" s="1"/>
  <c r="C79" i="11"/>
  <c r="A79" i="11"/>
  <c r="G78" i="11"/>
  <c r="H78" i="11" s="1"/>
  <c r="C78" i="11"/>
  <c r="G77" i="11"/>
  <c r="H77" i="11" s="1"/>
  <c r="C77" i="11"/>
  <c r="G76" i="11"/>
  <c r="H76" i="11" s="1"/>
  <c r="C76" i="11"/>
  <c r="B76" i="11" s="1"/>
  <c r="A77" i="11" s="1"/>
  <c r="B77" i="11" s="1"/>
  <c r="G75" i="11"/>
  <c r="H75" i="11" s="1"/>
  <c r="C75" i="11"/>
  <c r="H74" i="11"/>
  <c r="G74" i="11"/>
  <c r="C74" i="11"/>
  <c r="H73" i="11"/>
  <c r="G73" i="11"/>
  <c r="C73" i="11"/>
  <c r="G72" i="11"/>
  <c r="H72" i="11" s="1"/>
  <c r="C72" i="11"/>
  <c r="C71" i="11"/>
  <c r="H70" i="11"/>
  <c r="G70" i="11"/>
  <c r="C70" i="11"/>
  <c r="C69" i="11"/>
  <c r="G68" i="11"/>
  <c r="H68" i="11" s="1"/>
  <c r="C68" i="11"/>
  <c r="G67" i="11"/>
  <c r="H67" i="11" s="1"/>
  <c r="C67" i="11"/>
  <c r="A67" i="11"/>
  <c r="B67" i="11" s="1"/>
  <c r="A68" i="11" s="1"/>
  <c r="B68" i="11" s="1"/>
  <c r="A69" i="11" s="1"/>
  <c r="B69" i="11" s="1"/>
  <c r="A70" i="11" s="1"/>
  <c r="B70" i="11" s="1"/>
  <c r="A71" i="11" s="1"/>
  <c r="B71" i="11" s="1"/>
  <c r="A72" i="11" s="1"/>
  <c r="B72" i="11" s="1"/>
  <c r="A73" i="11" s="1"/>
  <c r="B73" i="11" s="1"/>
  <c r="A74" i="11" s="1"/>
  <c r="B74" i="11" s="1"/>
  <c r="A75" i="11" s="1"/>
  <c r="B75" i="11" s="1"/>
  <c r="H66" i="11"/>
  <c r="G66" i="11"/>
  <c r="C66" i="11"/>
  <c r="B66" i="11"/>
  <c r="H65" i="11"/>
  <c r="G65" i="11"/>
  <c r="C65" i="11"/>
  <c r="H64" i="11"/>
  <c r="G64" i="11"/>
  <c r="C64" i="11"/>
  <c r="B64" i="11"/>
  <c r="A65" i="11" s="1"/>
  <c r="B65" i="11" s="1"/>
  <c r="H63" i="11"/>
  <c r="G63" i="11"/>
  <c r="C63" i="11"/>
  <c r="H62" i="11"/>
  <c r="G62" i="11"/>
  <c r="C62" i="11"/>
  <c r="B62" i="11" s="1"/>
  <c r="A63" i="11" s="1"/>
  <c r="B63" i="11" s="1"/>
  <c r="G61" i="11"/>
  <c r="H61" i="11" s="1"/>
  <c r="C61" i="11"/>
  <c r="G60" i="11"/>
  <c r="H60" i="11" s="1"/>
  <c r="C60" i="11"/>
  <c r="H59" i="11"/>
  <c r="G59" i="11"/>
  <c r="C59" i="11"/>
  <c r="H58" i="11"/>
  <c r="G58" i="11"/>
  <c r="C58" i="11"/>
  <c r="H57" i="11"/>
  <c r="G57" i="11"/>
  <c r="C57" i="11"/>
  <c r="B57" i="11" s="1"/>
  <c r="A58" i="11" s="1"/>
  <c r="B58" i="11" s="1"/>
  <c r="A59" i="11" s="1"/>
  <c r="B59" i="11" s="1"/>
  <c r="A60" i="11" s="1"/>
  <c r="B60" i="11" s="1"/>
  <c r="A61" i="11" s="1"/>
  <c r="B61" i="11" s="1"/>
  <c r="G56" i="11"/>
  <c r="H56" i="11" s="1"/>
  <c r="C56" i="11"/>
  <c r="H55" i="11"/>
  <c r="G55" i="11"/>
  <c r="C55" i="11"/>
  <c r="H54" i="11"/>
  <c r="G54" i="11"/>
  <c r="C54" i="11"/>
  <c r="G53" i="11"/>
  <c r="H53" i="11" s="1"/>
  <c r="C53" i="11"/>
  <c r="G52" i="11"/>
  <c r="H52" i="11" s="1"/>
  <c r="C52" i="11"/>
  <c r="H51" i="11"/>
  <c r="G51" i="11"/>
  <c r="C51" i="11"/>
  <c r="H50" i="11"/>
  <c r="G50" i="11"/>
  <c r="C50" i="11"/>
  <c r="H49" i="11"/>
  <c r="C49" i="11"/>
  <c r="H48" i="11"/>
  <c r="C48" i="11"/>
  <c r="H47" i="11"/>
  <c r="C47" i="11"/>
  <c r="H46" i="11"/>
  <c r="C46" i="11"/>
  <c r="H45" i="11"/>
  <c r="C45" i="11"/>
  <c r="B45" i="11" s="1"/>
  <c r="A46" i="11" s="1"/>
  <c r="B46" i="11" s="1"/>
  <c r="A47" i="11" s="1"/>
  <c r="B47" i="11" s="1"/>
  <c r="A48" i="11" s="1"/>
  <c r="B48" i="11" s="1"/>
  <c r="A49" i="11" s="1"/>
  <c r="B49" i="11" s="1"/>
  <c r="A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C25" i="10"/>
  <c r="C24" i="10"/>
  <c r="C23" i="10"/>
  <c r="C22" i="10"/>
  <c r="C21" i="10"/>
  <c r="C20" i="10"/>
  <c r="C19" i="10"/>
  <c r="C18" i="10"/>
  <c r="C16" i="10"/>
  <c r="C15" i="10"/>
  <c r="C14" i="10"/>
  <c r="C13" i="10"/>
  <c r="C12" i="10"/>
  <c r="C11" i="10"/>
  <c r="C10" i="10"/>
  <c r="C9" i="10"/>
  <c r="H8" i="10"/>
  <c r="C8" i="10"/>
  <c r="C7" i="10"/>
  <c r="H6" i="10"/>
  <c r="C6" i="10"/>
  <c r="B6" i="10"/>
  <c r="A7" i="10" s="1"/>
  <c r="B7" i="10" s="1"/>
  <c r="A8" i="10" s="1"/>
  <c r="B8" i="10" s="1"/>
  <c r="A9" i="10" s="1"/>
  <c r="B9" i="10" s="1"/>
  <c r="A10" i="10" s="1"/>
  <c r="B10" i="10" s="1"/>
  <c r="A11" i="10" s="1"/>
  <c r="B11" i="10" s="1"/>
  <c r="A12" i="10" s="1"/>
  <c r="B12" i="10" s="1"/>
  <c r="A13" i="10" s="1"/>
  <c r="B13" i="10" s="1"/>
  <c r="A14" i="10" s="1"/>
  <c r="B14" i="10" s="1"/>
  <c r="A15" i="10" s="1"/>
  <c r="B15" i="10" s="1"/>
  <c r="A16" i="10" s="1"/>
  <c r="B16" i="10" s="1"/>
  <c r="A17" i="10" s="1"/>
  <c r="B17" i="10" s="1"/>
  <c r="A18" i="10" s="1"/>
  <c r="B18" i="10" s="1"/>
  <c r="A19" i="10" s="1"/>
  <c r="B19" i="10" s="1"/>
  <c r="A20" i="10" s="1"/>
  <c r="B20" i="10" s="1"/>
  <c r="A21" i="10" s="1"/>
  <c r="B21" i="10" s="1"/>
  <c r="A22" i="10" s="1"/>
  <c r="B22" i="10" s="1"/>
  <c r="A23" i="10" s="1"/>
  <c r="B23" i="10" s="1"/>
  <c r="A24" i="10" s="1"/>
  <c r="B24" i="10" s="1"/>
  <c r="A25" i="10" s="1"/>
  <c r="B25" i="10" s="1"/>
  <c r="H5" i="10"/>
  <c r="C5" i="10"/>
  <c r="A5" i="10"/>
  <c r="B5" i="10" s="1"/>
  <c r="C4" i="10"/>
  <c r="B4" i="10"/>
  <c r="H3" i="10"/>
  <c r="C3" i="10"/>
  <c r="B3" i="10"/>
  <c r="C5" i="9"/>
  <c r="C4" i="9"/>
  <c r="C3" i="9"/>
  <c r="B3" i="9" s="1"/>
  <c r="A4" i="9" s="1"/>
  <c r="B4" i="9" s="1"/>
  <c r="A5" i="9" s="1"/>
  <c r="B5" i="9" s="1"/>
  <c r="A6" i="9" s="1"/>
  <c r="B6" i="9" s="1"/>
  <c r="H17" i="8"/>
  <c r="C17" i="8" a="1"/>
  <c r="C17" i="8" s="1"/>
  <c r="H16" i="8"/>
  <c r="C16" i="8" a="1"/>
  <c r="C16" i="8" s="1"/>
  <c r="H15" i="8"/>
  <c r="C15" i="8" a="1"/>
  <c r="C15" i="8" s="1"/>
  <c r="H14" i="8"/>
  <c r="C14" i="8" a="1"/>
  <c r="C14" i="8" s="1"/>
  <c r="H13" i="8"/>
  <c r="C13" i="8" a="1"/>
  <c r="C13" i="8" s="1"/>
  <c r="H12" i="8"/>
  <c r="C12" i="8" a="1"/>
  <c r="C12" i="8" s="1"/>
  <c r="H11" i="8"/>
  <c r="C11" i="8"/>
  <c r="C11" i="8" a="1"/>
  <c r="H10" i="8"/>
  <c r="C10" i="8" a="1"/>
  <c r="C10" i="8" s="1"/>
  <c r="H9" i="8"/>
  <c r="C9" i="8"/>
  <c r="C9" i="8" a="1"/>
  <c r="B9" i="8"/>
  <c r="A10" i="8" s="1"/>
  <c r="B10" i="8" s="1"/>
  <c r="A11" i="8" s="1"/>
  <c r="B11" i="8" s="1"/>
  <c r="A12" i="8" s="1"/>
  <c r="B12" i="8" s="1"/>
  <c r="A13" i="8" s="1"/>
  <c r="B13" i="8" s="1"/>
  <c r="A14" i="8" s="1"/>
  <c r="B14" i="8" s="1"/>
  <c r="A15" i="8" s="1"/>
  <c r="B15" i="8" s="1"/>
  <c r="A16" i="8" s="1"/>
  <c r="B16" i="8" s="1"/>
  <c r="A17" i="8" s="1"/>
  <c r="B17" i="8" s="1"/>
  <c r="A9" i="8"/>
  <c r="H8" i="8"/>
  <c r="C8" i="8" a="1"/>
  <c r="C8" i="8" s="1"/>
  <c r="H7" i="8"/>
  <c r="C7" i="8" a="1"/>
  <c r="C7" i="8" s="1"/>
  <c r="H6" i="8"/>
  <c r="C6" i="8" a="1"/>
  <c r="C6" i="8" s="1"/>
  <c r="H5" i="8"/>
  <c r="C5" i="8" a="1"/>
  <c r="C5" i="8" s="1"/>
  <c r="H4" i="8"/>
  <c r="C4" i="8" a="1"/>
  <c r="C4" i="8" s="1"/>
  <c r="H3" i="8"/>
  <c r="C3" i="8" a="1"/>
  <c r="C3" i="8" s="1"/>
  <c r="A3" i="8"/>
  <c r="B3" i="8" s="1"/>
  <c r="A4" i="8" s="1"/>
  <c r="B4" i="8" s="1"/>
  <c r="A5" i="8" s="1"/>
  <c r="B5" i="8" s="1"/>
  <c r="A6" i="8" s="1"/>
  <c r="B6" i="8" s="1"/>
  <c r="H45" i="7"/>
  <c r="C45" i="7"/>
  <c r="H44" i="7"/>
  <c r="C44" i="7"/>
  <c r="H43" i="7"/>
  <c r="C43" i="7"/>
  <c r="H42" i="7"/>
  <c r="C42" i="7"/>
  <c r="H41" i="7"/>
  <c r="C41" i="7"/>
  <c r="H40" i="7"/>
  <c r="C40" i="7"/>
  <c r="H39" i="7"/>
  <c r="C39" i="7"/>
  <c r="H38" i="7"/>
  <c r="C38" i="7"/>
  <c r="H37" i="7"/>
  <c r="C37" i="7"/>
  <c r="H36" i="7"/>
  <c r="C36" i="7"/>
  <c r="H35" i="7"/>
  <c r="C35" i="7"/>
  <c r="B35" i="7" s="1"/>
  <c r="A36" i="7" s="1"/>
  <c r="B36" i="7" s="1"/>
  <c r="A37" i="7" s="1"/>
  <c r="B37" i="7" s="1"/>
  <c r="A38" i="7" s="1"/>
  <c r="B38" i="7" s="1"/>
  <c r="A39" i="7" s="1"/>
  <c r="B39" i="7" s="1"/>
  <c r="A40" i="7" s="1"/>
  <c r="B40" i="7" s="1"/>
  <c r="A41" i="7" s="1"/>
  <c r="B41" i="7" s="1"/>
  <c r="A42" i="7" s="1"/>
  <c r="B42" i="7" s="1"/>
  <c r="A43" i="7" s="1"/>
  <c r="B43" i="7" s="1"/>
  <c r="A44" i="7" s="1"/>
  <c r="B44" i="7" s="1"/>
  <c r="A45" i="7" s="1"/>
  <c r="B45" i="7" s="1"/>
  <c r="H34" i="7"/>
  <c r="C34" i="7"/>
  <c r="H33" i="7"/>
  <c r="C33" i="7"/>
  <c r="H32" i="7"/>
  <c r="C32" i="7"/>
  <c r="H31" i="7"/>
  <c r="C31" i="7"/>
  <c r="H30" i="7"/>
  <c r="C30" i="7"/>
  <c r="B30" i="7"/>
  <c r="A31" i="7" s="1"/>
  <c r="B31" i="7" s="1"/>
  <c r="A32" i="7" s="1"/>
  <c r="B32" i="7" s="1"/>
  <c r="A33" i="7" s="1"/>
  <c r="B33" i="7" s="1"/>
  <c r="A34" i="7" s="1"/>
  <c r="B34" i="7" s="1"/>
  <c r="H29" i="7"/>
  <c r="C29" i="7"/>
  <c r="H28" i="7"/>
  <c r="C28" i="7"/>
  <c r="H27" i="7"/>
  <c r="C27" i="7"/>
  <c r="H26" i="7"/>
  <c r="C26" i="7"/>
  <c r="H25" i="7"/>
  <c r="C25" i="7"/>
  <c r="H24" i="7"/>
  <c r="C24" i="7"/>
  <c r="H23" i="7"/>
  <c r="C23" i="7"/>
  <c r="H22" i="7"/>
  <c r="C22" i="7"/>
  <c r="H21" i="7"/>
  <c r="C21" i="7"/>
  <c r="H20" i="7"/>
  <c r="C20" i="7"/>
  <c r="H19" i="7"/>
  <c r="C19" i="7"/>
  <c r="H18" i="7"/>
  <c r="C18" i="7"/>
  <c r="H17" i="7"/>
  <c r="C17" i="7"/>
  <c r="H16" i="7"/>
  <c r="C16" i="7"/>
  <c r="H15" i="7"/>
  <c r="C15" i="7"/>
  <c r="H14" i="7"/>
  <c r="C14" i="7"/>
  <c r="H13" i="7"/>
  <c r="C13" i="7"/>
  <c r="H12" i="7"/>
  <c r="C12" i="7"/>
  <c r="H11" i="7"/>
  <c r="C11" i="7"/>
  <c r="H10" i="7"/>
  <c r="C10" i="7"/>
  <c r="H9" i="7"/>
  <c r="C9" i="7"/>
  <c r="C8" i="7"/>
  <c r="H7" i="7"/>
  <c r="C7" i="7"/>
  <c r="B7" i="7"/>
  <c r="A8" i="7" s="1"/>
  <c r="B8" i="7" s="1"/>
  <c r="A9" i="7" s="1"/>
  <c r="B9" i="7" s="1"/>
  <c r="A10" i="7" s="1"/>
  <c r="B10" i="7" s="1"/>
  <c r="A11" i="7" s="1"/>
  <c r="B11" i="7" s="1"/>
  <c r="A12" i="7" s="1"/>
  <c r="B12" i="7" s="1"/>
  <c r="A13" i="7" s="1"/>
  <c r="B13" i="7" s="1"/>
  <c r="A14" i="7" s="1"/>
  <c r="B14" i="7" s="1"/>
  <c r="A15" i="7" s="1"/>
  <c r="B15" i="7" s="1"/>
  <c r="A16" i="7" s="1"/>
  <c r="B16" i="7" s="1"/>
  <c r="A17" i="7" s="1"/>
  <c r="B17" i="7" s="1"/>
  <c r="A18" i="7" s="1"/>
  <c r="B18" i="7" s="1"/>
  <c r="A19" i="7" s="1"/>
  <c r="B19" i="7" s="1"/>
  <c r="A20" i="7" s="1"/>
  <c r="B20" i="7" s="1"/>
  <c r="A21" i="7" s="1"/>
  <c r="B21" i="7" s="1"/>
  <c r="A22" i="7" s="1"/>
  <c r="B22" i="7" s="1"/>
  <c r="A23" i="7" s="1"/>
  <c r="B23" i="7" s="1"/>
  <c r="A24" i="7" s="1"/>
  <c r="B24" i="7" s="1"/>
  <c r="A25" i="7" s="1"/>
  <c r="B25" i="7" s="1"/>
  <c r="A26" i="7" s="1"/>
  <c r="B26" i="7" s="1"/>
  <c r="A27" i="7" s="1"/>
  <c r="B27" i="7" s="1"/>
  <c r="A28" i="7" s="1"/>
  <c r="B28" i="7" s="1"/>
  <c r="A29" i="7" s="1"/>
  <c r="B29" i="7" s="1"/>
  <c r="H6" i="7"/>
  <c r="C6" i="7"/>
  <c r="H5" i="7"/>
  <c r="C5" i="7"/>
  <c r="H4" i="7"/>
  <c r="C4" i="7"/>
  <c r="B4" i="7" s="1"/>
  <c r="A5" i="7" s="1"/>
  <c r="B5" i="7" s="1"/>
  <c r="A6" i="7" s="1"/>
  <c r="B6" i="7" s="1"/>
  <c r="H3" i="7"/>
  <c r="C3" i="7"/>
  <c r="B3" i="7" s="1"/>
  <c r="A3" i="7"/>
  <c r="H197" i="6"/>
  <c r="C197" i="6"/>
  <c r="H196" i="6"/>
  <c r="C196" i="6"/>
  <c r="H195" i="6"/>
  <c r="C195" i="6"/>
  <c r="H194" i="6"/>
  <c r="C194" i="6"/>
  <c r="H193" i="6"/>
  <c r="C193" i="6"/>
  <c r="H192" i="6"/>
  <c r="C192" i="6"/>
  <c r="H191" i="6"/>
  <c r="C191" i="6"/>
  <c r="H190" i="6"/>
  <c r="C190" i="6"/>
  <c r="H189" i="6"/>
  <c r="C189" i="6"/>
  <c r="H188" i="6"/>
  <c r="C188" i="6"/>
  <c r="H187" i="6"/>
  <c r="C187" i="6"/>
  <c r="H186" i="6"/>
  <c r="C186" i="6"/>
  <c r="H185" i="6"/>
  <c r="C185" i="6"/>
  <c r="H184" i="6"/>
  <c r="C184" i="6"/>
  <c r="H183" i="6"/>
  <c r="C183" i="6"/>
  <c r="H182" i="6"/>
  <c r="C182" i="6"/>
  <c r="H181" i="6"/>
  <c r="C181" i="6"/>
  <c r="H180" i="6"/>
  <c r="C180" i="6"/>
  <c r="H179" i="6"/>
  <c r="C179" i="6"/>
  <c r="B179" i="6" s="1"/>
  <c r="A180" i="6" s="1"/>
  <c r="B180" i="6" s="1"/>
  <c r="A181" i="6" s="1"/>
  <c r="B181" i="6" s="1"/>
  <c r="A182" i="6" s="1"/>
  <c r="B182" i="6" s="1"/>
  <c r="A183" i="6" s="1"/>
  <c r="B183" i="6" s="1"/>
  <c r="A184" i="6" s="1"/>
  <c r="B184" i="6" s="1"/>
  <c r="A185" i="6" s="1"/>
  <c r="B185" i="6" s="1"/>
  <c r="A186" i="6" s="1"/>
  <c r="B186" i="6" s="1"/>
  <c r="A187" i="6" s="1"/>
  <c r="B187" i="6" s="1"/>
  <c r="A188" i="6" s="1"/>
  <c r="B188" i="6" s="1"/>
  <c r="A189" i="6" s="1"/>
  <c r="B189" i="6" s="1"/>
  <c r="A190" i="6" s="1"/>
  <c r="B190" i="6" s="1"/>
  <c r="A191" i="6" s="1"/>
  <c r="B191" i="6" s="1"/>
  <c r="A192" i="6" s="1"/>
  <c r="B192" i="6" s="1"/>
  <c r="A193" i="6" s="1"/>
  <c r="B193" i="6" s="1"/>
  <c r="A194" i="6" s="1"/>
  <c r="B194" i="6" s="1"/>
  <c r="A195" i="6" s="1"/>
  <c r="B195" i="6" s="1"/>
  <c r="A196" i="6" s="1"/>
  <c r="B196" i="6" s="1"/>
  <c r="A197" i="6" s="1"/>
  <c r="B197" i="6" s="1"/>
  <c r="H178" i="6"/>
  <c r="C178" i="6"/>
  <c r="B178" i="6" s="1"/>
  <c r="H177" i="6"/>
  <c r="C177" i="6"/>
  <c r="B177" i="6"/>
  <c r="H176" i="6"/>
  <c r="C176" i="6"/>
  <c r="B176" i="6" s="1"/>
  <c r="H175" i="6"/>
  <c r="C175" i="6"/>
  <c r="H174" i="6"/>
  <c r="C174" i="6"/>
  <c r="H173" i="6"/>
  <c r="C173" i="6"/>
  <c r="H172" i="6"/>
  <c r="C172" i="6"/>
  <c r="H171" i="6"/>
  <c r="C171" i="6"/>
  <c r="H170" i="6"/>
  <c r="C170" i="6"/>
  <c r="H169" i="6"/>
  <c r="C169" i="6"/>
  <c r="H168" i="6"/>
  <c r="C168" i="6"/>
  <c r="H167" i="6"/>
  <c r="C167" i="6"/>
  <c r="H166" i="6"/>
  <c r="C166" i="6"/>
  <c r="H165" i="6"/>
  <c r="C165" i="6"/>
  <c r="H164" i="6"/>
  <c r="C164" i="6"/>
  <c r="H163" i="6"/>
  <c r="C163" i="6"/>
  <c r="H162" i="6"/>
  <c r="C162" i="6"/>
  <c r="H161" i="6"/>
  <c r="C161" i="6"/>
  <c r="H160" i="6"/>
  <c r="C160" i="6"/>
  <c r="H159" i="6"/>
  <c r="C159" i="6"/>
  <c r="B159" i="6" s="1"/>
  <c r="A160" i="6" s="1"/>
  <c r="B160" i="6" s="1"/>
  <c r="A161" i="6" s="1"/>
  <c r="B161" i="6" s="1"/>
  <c r="A162" i="6" s="1"/>
  <c r="B162" i="6" s="1"/>
  <c r="A163" i="6" s="1"/>
  <c r="B163" i="6" s="1"/>
  <c r="A164" i="6" s="1"/>
  <c r="B164" i="6" s="1"/>
  <c r="A165" i="6" s="1"/>
  <c r="B165" i="6" s="1"/>
  <c r="A166" i="6" s="1"/>
  <c r="B166" i="6" s="1"/>
  <c r="A167" i="6" s="1"/>
  <c r="B167" i="6" s="1"/>
  <c r="A168" i="6" s="1"/>
  <c r="B168" i="6" s="1"/>
  <c r="A169" i="6" s="1"/>
  <c r="B169" i="6" s="1"/>
  <c r="A170" i="6" s="1"/>
  <c r="B170" i="6" s="1"/>
  <c r="A171" i="6" s="1"/>
  <c r="B171" i="6" s="1"/>
  <c r="A172" i="6" s="1"/>
  <c r="B172" i="6" s="1"/>
  <c r="A173" i="6" s="1"/>
  <c r="B173" i="6" s="1"/>
  <c r="A174" i="6" s="1"/>
  <c r="B174" i="6" s="1"/>
  <c r="A175" i="6" s="1"/>
  <c r="B175" i="6" s="1"/>
  <c r="H158" i="6"/>
  <c r="C158" i="6"/>
  <c r="H157" i="6"/>
  <c r="C157" i="6"/>
  <c r="H156" i="6"/>
  <c r="C156" i="6"/>
  <c r="H155" i="6"/>
  <c r="C155" i="6"/>
  <c r="H154" i="6"/>
  <c r="C154" i="6"/>
  <c r="H153" i="6"/>
  <c r="C153" i="6"/>
  <c r="H152" i="6"/>
  <c r="C152" i="6"/>
  <c r="H151" i="6"/>
  <c r="C151" i="6"/>
  <c r="H150" i="6"/>
  <c r="C150" i="6"/>
  <c r="H149" i="6"/>
  <c r="C149" i="6"/>
  <c r="H148" i="6"/>
  <c r="C148" i="6"/>
  <c r="H147" i="6"/>
  <c r="C147" i="6"/>
  <c r="H146" i="6"/>
  <c r="C146" i="6"/>
  <c r="H145" i="6"/>
  <c r="C145" i="6"/>
  <c r="H144" i="6"/>
  <c r="C144" i="6"/>
  <c r="H143" i="6"/>
  <c r="C143" i="6"/>
  <c r="B143" i="6"/>
  <c r="A144" i="6" s="1"/>
  <c r="B144" i="6" s="1"/>
  <c r="A145" i="6" s="1"/>
  <c r="B145" i="6" s="1"/>
  <c r="A146" i="6" s="1"/>
  <c r="B146" i="6" s="1"/>
  <c r="A147" i="6" s="1"/>
  <c r="B147" i="6" s="1"/>
  <c r="A148" i="6" s="1"/>
  <c r="B148" i="6" s="1"/>
  <c r="A149" i="6" s="1"/>
  <c r="B149" i="6" s="1"/>
  <c r="A150" i="6" s="1"/>
  <c r="B150" i="6" s="1"/>
  <c r="A151" i="6" s="1"/>
  <c r="B151" i="6" s="1"/>
  <c r="A152" i="6" s="1"/>
  <c r="B152" i="6" s="1"/>
  <c r="A153" i="6" s="1"/>
  <c r="B153" i="6" s="1"/>
  <c r="A154" i="6" s="1"/>
  <c r="B154" i="6" s="1"/>
  <c r="A155" i="6" s="1"/>
  <c r="B155" i="6" s="1"/>
  <c r="A156" i="6" s="1"/>
  <c r="B156" i="6" s="1"/>
  <c r="A157" i="6" s="1"/>
  <c r="B157" i="6" s="1"/>
  <c r="A158" i="6" s="1"/>
  <c r="B158" i="6" s="1"/>
  <c r="H142" i="6"/>
  <c r="C142" i="6"/>
  <c r="H141" i="6"/>
  <c r="C141" i="6"/>
  <c r="H140" i="6"/>
  <c r="C140" i="6"/>
  <c r="H139" i="6"/>
  <c r="C139" i="6"/>
  <c r="H138" i="6"/>
  <c r="C138" i="6"/>
  <c r="H137" i="6"/>
  <c r="C137" i="6"/>
  <c r="H136" i="6"/>
  <c r="C136" i="6"/>
  <c r="H135" i="6"/>
  <c r="C135" i="6"/>
  <c r="H134" i="6"/>
  <c r="C134" i="6"/>
  <c r="A134" i="6"/>
  <c r="B134" i="6" s="1"/>
  <c r="A135" i="6" s="1"/>
  <c r="B135" i="6" s="1"/>
  <c r="A136" i="6" s="1"/>
  <c r="B136" i="6" s="1"/>
  <c r="A137" i="6" s="1"/>
  <c r="B137" i="6" s="1"/>
  <c r="A138" i="6" s="1"/>
  <c r="B138" i="6" s="1"/>
  <c r="A139" i="6" s="1"/>
  <c r="B139" i="6" s="1"/>
  <c r="A140" i="6" s="1"/>
  <c r="B140" i="6" s="1"/>
  <c r="A141" i="6" s="1"/>
  <c r="B141" i="6" s="1"/>
  <c r="A142" i="6" s="1"/>
  <c r="B142" i="6" s="1"/>
  <c r="H130" i="6"/>
  <c r="C130" i="6"/>
  <c r="H129" i="6"/>
  <c r="C129" i="6"/>
  <c r="H128" i="6"/>
  <c r="C128" i="6"/>
  <c r="H127" i="6"/>
  <c r="C127" i="6"/>
  <c r="H126" i="6"/>
  <c r="C126" i="6"/>
  <c r="H125" i="6"/>
  <c r="C125" i="6"/>
  <c r="H124" i="6"/>
  <c r="C124" i="6"/>
  <c r="H123" i="6"/>
  <c r="C123" i="6"/>
  <c r="H122" i="6"/>
  <c r="C122" i="6"/>
  <c r="H121" i="6"/>
  <c r="C121" i="6"/>
  <c r="H120" i="6"/>
  <c r="C120" i="6"/>
  <c r="H119" i="6"/>
  <c r="C119" i="6"/>
  <c r="H118" i="6"/>
  <c r="C118" i="6"/>
  <c r="H117" i="6"/>
  <c r="C117" i="6"/>
  <c r="H116" i="6"/>
  <c r="C116" i="6"/>
  <c r="H115" i="6"/>
  <c r="C115" i="6"/>
  <c r="H114" i="6"/>
  <c r="C114" i="6"/>
  <c r="H113" i="6"/>
  <c r="C113" i="6"/>
  <c r="H112" i="6"/>
  <c r="C112" i="6"/>
  <c r="H111" i="6"/>
  <c r="C111" i="6"/>
  <c r="H110" i="6"/>
  <c r="C110" i="6"/>
  <c r="H109" i="6"/>
  <c r="C109" i="6"/>
  <c r="H108" i="6"/>
  <c r="C108" i="6"/>
  <c r="H107" i="6"/>
  <c r="C107" i="6"/>
  <c r="H106" i="6"/>
  <c r="C106" i="6"/>
  <c r="H105" i="6"/>
  <c r="C105" i="6"/>
  <c r="H104" i="6"/>
  <c r="C104" i="6"/>
  <c r="H103" i="6"/>
  <c r="C103" i="6"/>
  <c r="H102" i="6"/>
  <c r="C102" i="6"/>
  <c r="H101" i="6"/>
  <c r="C101" i="6"/>
  <c r="H100" i="6"/>
  <c r="C100" i="6"/>
  <c r="H99" i="6"/>
  <c r="C99" i="6"/>
  <c r="H98" i="6"/>
  <c r="C98" i="6"/>
  <c r="H97" i="6"/>
  <c r="C97" i="6"/>
  <c r="H96" i="6"/>
  <c r="C96" i="6"/>
  <c r="H95" i="6"/>
  <c r="C95" i="6"/>
  <c r="H94" i="6"/>
  <c r="C94" i="6"/>
  <c r="H93" i="6"/>
  <c r="C93" i="6"/>
  <c r="H92" i="6"/>
  <c r="C92" i="6"/>
  <c r="H91" i="6"/>
  <c r="C91" i="6"/>
  <c r="B91" i="6" s="1"/>
  <c r="A92" i="6" s="1"/>
  <c r="B92" i="6" s="1"/>
  <c r="A93" i="6" s="1"/>
  <c r="B93" i="6" s="1"/>
  <c r="A94" i="6" s="1"/>
  <c r="B94" i="6" s="1"/>
  <c r="A95" i="6" s="1"/>
  <c r="B95" i="6" s="1"/>
  <c r="A96" i="6" s="1"/>
  <c r="B96" i="6" s="1"/>
  <c r="A97" i="6" s="1"/>
  <c r="B97" i="6" s="1"/>
  <c r="A98" i="6" s="1"/>
  <c r="B98" i="6" s="1"/>
  <c r="A99" i="6" s="1"/>
  <c r="B99" i="6" s="1"/>
  <c r="A100" i="6" s="1"/>
  <c r="B100" i="6" s="1"/>
  <c r="A101" i="6" s="1"/>
  <c r="B101" i="6" s="1"/>
  <c r="A102" i="6" s="1"/>
  <c r="B102" i="6" s="1"/>
  <c r="A103" i="6" s="1"/>
  <c r="B103" i="6" s="1"/>
  <c r="A104" i="6" s="1"/>
  <c r="B104" i="6" s="1"/>
  <c r="A105" i="6" s="1"/>
  <c r="B105" i="6" s="1"/>
  <c r="A106" i="6" s="1"/>
  <c r="B106" i="6" s="1"/>
  <c r="A107" i="6" s="1"/>
  <c r="B107" i="6" s="1"/>
  <c r="A108" i="6" s="1"/>
  <c r="B108" i="6" s="1"/>
  <c r="A109" i="6" s="1"/>
  <c r="B109" i="6" s="1"/>
  <c r="A110" i="6" s="1"/>
  <c r="B110" i="6" s="1"/>
  <c r="A111" i="6" s="1"/>
  <c r="B111" i="6" s="1"/>
  <c r="A112" i="6" s="1"/>
  <c r="B112" i="6" s="1"/>
  <c r="A113" i="6" s="1"/>
  <c r="B113" i="6" s="1"/>
  <c r="A114" i="6" s="1"/>
  <c r="B114" i="6" s="1"/>
  <c r="A115" i="6" s="1"/>
  <c r="B115" i="6" s="1"/>
  <c r="A116" i="6" s="1"/>
  <c r="B116" i="6" s="1"/>
  <c r="A117" i="6" s="1"/>
  <c r="B117" i="6" s="1"/>
  <c r="A118" i="6" s="1"/>
  <c r="B118" i="6" s="1"/>
  <c r="A119" i="6" s="1"/>
  <c r="B119" i="6" s="1"/>
  <c r="A120" i="6" s="1"/>
  <c r="B120" i="6" s="1"/>
  <c r="A121" i="6" s="1"/>
  <c r="B121" i="6" s="1"/>
  <c r="A122" i="6" s="1"/>
  <c r="B122" i="6" s="1"/>
  <c r="A123" i="6" s="1"/>
  <c r="B123" i="6" s="1"/>
  <c r="A124" i="6" s="1"/>
  <c r="B124" i="6" s="1"/>
  <c r="A125" i="6" s="1"/>
  <c r="B125" i="6" s="1"/>
  <c r="A126" i="6" s="1"/>
  <c r="B126" i="6" s="1"/>
  <c r="A127" i="6" s="1"/>
  <c r="B127" i="6" s="1"/>
  <c r="A128" i="6" s="1"/>
  <c r="B128" i="6" s="1"/>
  <c r="A129" i="6" s="1"/>
  <c r="B129" i="6" s="1"/>
  <c r="A130" i="6" s="1"/>
  <c r="B130" i="6" s="1"/>
  <c r="H90" i="6"/>
  <c r="C90" i="6"/>
  <c r="H89" i="6"/>
  <c r="C89" i="6"/>
  <c r="H88" i="6"/>
  <c r="C88" i="6"/>
  <c r="H87" i="6"/>
  <c r="C87" i="6"/>
  <c r="B87" i="6"/>
  <c r="A88" i="6" s="1"/>
  <c r="B88" i="6" s="1"/>
  <c r="A89" i="6" s="1"/>
  <c r="B89" i="6" s="1"/>
  <c r="A90" i="6" s="1"/>
  <c r="B90" i="6" s="1"/>
  <c r="A87" i="6"/>
  <c r="H86" i="6"/>
  <c r="C86" i="6"/>
  <c r="H85" i="6"/>
  <c r="C85" i="6"/>
  <c r="H84" i="6"/>
  <c r="C84" i="6"/>
  <c r="H83" i="6"/>
  <c r="C83" i="6"/>
  <c r="H82" i="6"/>
  <c r="C82" i="6"/>
  <c r="H81" i="6"/>
  <c r="C81" i="6"/>
  <c r="H80" i="6"/>
  <c r="C80" i="6"/>
  <c r="H79" i="6"/>
  <c r="C79" i="6"/>
  <c r="H78" i="6"/>
  <c r="C78" i="6"/>
  <c r="H77" i="6"/>
  <c r="C77" i="6"/>
  <c r="H76" i="6"/>
  <c r="C76" i="6"/>
  <c r="H75" i="6"/>
  <c r="C75" i="6"/>
  <c r="H74" i="6"/>
  <c r="C74" i="6"/>
  <c r="H73" i="6"/>
  <c r="C73" i="6"/>
  <c r="H72" i="6"/>
  <c r="C72" i="6"/>
  <c r="H71" i="6"/>
  <c r="C71" i="6"/>
  <c r="B71" i="6"/>
  <c r="A72" i="6" s="1"/>
  <c r="B72" i="6" s="1"/>
  <c r="A73" i="6" s="1"/>
  <c r="B73" i="6" s="1"/>
  <c r="A74" i="6" s="1"/>
  <c r="B74" i="6" s="1"/>
  <c r="A75" i="6" s="1"/>
  <c r="B75" i="6" s="1"/>
  <c r="A76" i="6" s="1"/>
  <c r="B76" i="6" s="1"/>
  <c r="A77" i="6" s="1"/>
  <c r="B77" i="6" s="1"/>
  <c r="A78" i="6" s="1"/>
  <c r="B78" i="6" s="1"/>
  <c r="A79" i="6" s="1"/>
  <c r="B79" i="6" s="1"/>
  <c r="A80" i="6" s="1"/>
  <c r="B80" i="6" s="1"/>
  <c r="A81" i="6" s="1"/>
  <c r="B81" i="6" s="1"/>
  <c r="A82" i="6" s="1"/>
  <c r="B82" i="6" s="1"/>
  <c r="A83" i="6" s="1"/>
  <c r="B83" i="6" s="1"/>
  <c r="A84" i="6" s="1"/>
  <c r="B84" i="6" s="1"/>
  <c r="A85" i="6" s="1"/>
  <c r="B85" i="6" s="1"/>
  <c r="A86" i="6" s="1"/>
  <c r="B86" i="6" s="1"/>
  <c r="H70" i="6"/>
  <c r="C70" i="6"/>
  <c r="H69" i="6"/>
  <c r="C69" i="6"/>
  <c r="H68" i="6"/>
  <c r="C68" i="6"/>
  <c r="H67" i="6"/>
  <c r="C67" i="6"/>
  <c r="H66" i="6"/>
  <c r="C66" i="6"/>
  <c r="H65" i="6"/>
  <c r="C65" i="6"/>
  <c r="H64" i="6"/>
  <c r="C64" i="6"/>
  <c r="H63" i="6"/>
  <c r="C63" i="6"/>
  <c r="H62" i="6"/>
  <c r="C62" i="6"/>
  <c r="H61" i="6"/>
  <c r="C61" i="6"/>
  <c r="H60" i="6"/>
  <c r="C60" i="6"/>
  <c r="H59" i="6"/>
  <c r="C59" i="6"/>
  <c r="H58" i="6"/>
  <c r="C58" i="6"/>
  <c r="H57" i="6"/>
  <c r="C57" i="6"/>
  <c r="H56" i="6"/>
  <c r="C56" i="6"/>
  <c r="H55" i="6"/>
  <c r="C55" i="6"/>
  <c r="H54" i="6"/>
  <c r="C54" i="6"/>
  <c r="H53" i="6"/>
  <c r="C53" i="6"/>
  <c r="H52" i="6"/>
  <c r="C52" i="6"/>
  <c r="H51" i="6"/>
  <c r="C51" i="6"/>
  <c r="H50" i="6"/>
  <c r="C50" i="6"/>
  <c r="H49" i="6"/>
  <c r="C49" i="6"/>
  <c r="B49" i="6" s="1"/>
  <c r="A50" i="6" s="1"/>
  <c r="B50" i="6" s="1"/>
  <c r="A51" i="6" s="1"/>
  <c r="B51" i="6" s="1"/>
  <c r="A52" i="6" s="1"/>
  <c r="B52" i="6" s="1"/>
  <c r="A53" i="6" s="1"/>
  <c r="B53" i="6" s="1"/>
  <c r="A54" i="6" s="1"/>
  <c r="B54" i="6" s="1"/>
  <c r="A55" i="6" s="1"/>
  <c r="B55" i="6" s="1"/>
  <c r="A56" i="6" s="1"/>
  <c r="B56" i="6" s="1"/>
  <c r="A57" i="6" s="1"/>
  <c r="B57" i="6" s="1"/>
  <c r="A58" i="6" s="1"/>
  <c r="B58" i="6" s="1"/>
  <c r="A59" i="6" s="1"/>
  <c r="B59" i="6" s="1"/>
  <c r="A60" i="6" s="1"/>
  <c r="B60" i="6" s="1"/>
  <c r="A61" i="6" s="1"/>
  <c r="B61" i="6" s="1"/>
  <c r="A62" i="6" s="1"/>
  <c r="B62" i="6" s="1"/>
  <c r="A63" i="6" s="1"/>
  <c r="B63" i="6" s="1"/>
  <c r="A64" i="6" s="1"/>
  <c r="B64" i="6" s="1"/>
  <c r="A65" i="6" s="1"/>
  <c r="B65" i="6" s="1"/>
  <c r="A66" i="6" s="1"/>
  <c r="B66" i="6" s="1"/>
  <c r="A67" i="6" s="1"/>
  <c r="B67" i="6" s="1"/>
  <c r="A68" i="6" s="1"/>
  <c r="B68" i="6" s="1"/>
  <c r="A69" i="6" s="1"/>
  <c r="B69" i="6" s="1"/>
  <c r="A70" i="6" s="1"/>
  <c r="B70" i="6" s="1"/>
  <c r="H48" i="6"/>
  <c r="C48" i="6"/>
  <c r="H47" i="6"/>
  <c r="C47" i="6"/>
  <c r="H46" i="6"/>
  <c r="C46" i="6"/>
  <c r="H45" i="6"/>
  <c r="C45" i="6"/>
  <c r="H44" i="6"/>
  <c r="C44" i="6"/>
  <c r="H43" i="6"/>
  <c r="C43" i="6"/>
  <c r="H42" i="6"/>
  <c r="C42" i="6"/>
  <c r="H41" i="6"/>
  <c r="C41" i="6"/>
  <c r="H40" i="6"/>
  <c r="C40" i="6"/>
  <c r="H39" i="6"/>
  <c r="C39" i="6"/>
  <c r="H38" i="6"/>
  <c r="C38" i="6"/>
  <c r="H37" i="6"/>
  <c r="C37" i="6"/>
  <c r="H36" i="6"/>
  <c r="C36" i="6"/>
  <c r="H35" i="6"/>
  <c r="C35" i="6"/>
  <c r="H34" i="6"/>
  <c r="C34" i="6"/>
  <c r="H33" i="6"/>
  <c r="C33" i="6"/>
  <c r="H32" i="6"/>
  <c r="C32" i="6"/>
  <c r="H31" i="6"/>
  <c r="C31" i="6"/>
  <c r="H30" i="6"/>
  <c r="C30" i="6"/>
  <c r="B30" i="6"/>
  <c r="A31" i="6" s="1"/>
  <c r="B31" i="6" s="1"/>
  <c r="A32" i="6" s="1"/>
  <c r="B32" i="6" s="1"/>
  <c r="A33" i="6" s="1"/>
  <c r="B33" i="6" s="1"/>
  <c r="A34" i="6" s="1"/>
  <c r="B34" i="6" s="1"/>
  <c r="A35" i="6" s="1"/>
  <c r="B35" i="6" s="1"/>
  <c r="A36" i="6" s="1"/>
  <c r="B36" i="6" s="1"/>
  <c r="A37" i="6" s="1"/>
  <c r="B37" i="6" s="1"/>
  <c r="A38" i="6" s="1"/>
  <c r="B38" i="6" s="1"/>
  <c r="A39" i="6" s="1"/>
  <c r="B39" i="6" s="1"/>
  <c r="A40" i="6" s="1"/>
  <c r="B40" i="6" s="1"/>
  <c r="A41" i="6" s="1"/>
  <c r="B41" i="6" s="1"/>
  <c r="A42" i="6" s="1"/>
  <c r="B42" i="6" s="1"/>
  <c r="A43" i="6" s="1"/>
  <c r="B43" i="6" s="1"/>
  <c r="A44" i="6" s="1"/>
  <c r="B44" i="6" s="1"/>
  <c r="A45" i="6" s="1"/>
  <c r="B45" i="6" s="1"/>
  <c r="A46" i="6" s="1"/>
  <c r="B46" i="6" s="1"/>
  <c r="A47" i="6" s="1"/>
  <c r="B47" i="6" s="1"/>
  <c r="A48" i="6" s="1"/>
  <c r="B48" i="6" s="1"/>
  <c r="A30" i="6"/>
  <c r="H29" i="6"/>
  <c r="C29" i="6"/>
  <c r="H28" i="6"/>
  <c r="H27" i="6"/>
  <c r="C27" i="6"/>
  <c r="H26" i="6"/>
  <c r="C26" i="6"/>
  <c r="H25" i="6"/>
  <c r="C25" i="6"/>
  <c r="H24" i="6"/>
  <c r="C24" i="6"/>
  <c r="B24" i="6" s="1"/>
  <c r="A25" i="6" s="1"/>
  <c r="B25" i="6" s="1"/>
  <c r="A26" i="6" s="1"/>
  <c r="B26" i="6" s="1"/>
  <c r="A27" i="6" s="1"/>
  <c r="B27" i="6" s="1"/>
  <c r="A28" i="6" s="1"/>
  <c r="B28" i="6" s="1"/>
  <c r="A29" i="6" s="1"/>
  <c r="H23" i="6"/>
  <c r="C23" i="6"/>
  <c r="H22" i="6"/>
  <c r="C22" i="6"/>
  <c r="H21" i="6"/>
  <c r="C21" i="6"/>
  <c r="H20" i="6"/>
  <c r="C20" i="6"/>
  <c r="H19" i="6"/>
  <c r="C19" i="6"/>
  <c r="H18" i="6"/>
  <c r="C18" i="6"/>
  <c r="H17" i="6"/>
  <c r="C17" i="6"/>
  <c r="H16" i="6"/>
  <c r="C16" i="6"/>
  <c r="H15" i="6"/>
  <c r="C15" i="6"/>
  <c r="H14" i="6"/>
  <c r="C14" i="6"/>
  <c r="H13" i="6"/>
  <c r="C13" i="6"/>
  <c r="H12" i="6"/>
  <c r="C12" i="6"/>
  <c r="H11" i="6"/>
  <c r="C11" i="6"/>
  <c r="H10" i="6"/>
  <c r="C10" i="6"/>
  <c r="H9" i="6"/>
  <c r="C9" i="6"/>
  <c r="H8" i="6"/>
  <c r="C8" i="6"/>
  <c r="H7" i="6"/>
  <c r="C7" i="6"/>
  <c r="H6" i="6"/>
  <c r="C6" i="6"/>
  <c r="H5" i="6"/>
  <c r="C5" i="6"/>
  <c r="H4" i="6"/>
  <c r="C4" i="6"/>
  <c r="H3" i="6"/>
  <c r="C3" i="6"/>
  <c r="B3" i="6" s="1"/>
  <c r="A4" i="6" s="1"/>
  <c r="B4" i="6" s="1"/>
  <c r="A5" i="6" s="1"/>
  <c r="B5" i="6" s="1"/>
  <c r="A6" i="6" s="1"/>
  <c r="B6" i="6" s="1"/>
  <c r="A7" i="6" s="1"/>
  <c r="B7" i="6" s="1"/>
  <c r="A8" i="6" s="1"/>
  <c r="B8" i="6" s="1"/>
  <c r="A9" i="6" s="1"/>
  <c r="B9" i="6" s="1"/>
  <c r="A10" i="6" s="1"/>
  <c r="B10" i="6" s="1"/>
  <c r="A11" i="6" s="1"/>
  <c r="B11" i="6" s="1"/>
  <c r="A12" i="6" s="1"/>
  <c r="B12" i="6" s="1"/>
  <c r="A13" i="6" s="1"/>
  <c r="B13" i="6" s="1"/>
  <c r="A14" i="6" s="1"/>
  <c r="B14" i="6" s="1"/>
  <c r="A15" i="6" s="1"/>
  <c r="B15" i="6" s="1"/>
  <c r="A16" i="6" s="1"/>
  <c r="B16" i="6" s="1"/>
  <c r="A17" i="6" s="1"/>
  <c r="B17" i="6" s="1"/>
  <c r="A18" i="6" s="1"/>
  <c r="B18" i="6" s="1"/>
  <c r="A19" i="6" s="1"/>
  <c r="B19" i="6" s="1"/>
  <c r="A20" i="6" s="1"/>
  <c r="B20" i="6" s="1"/>
  <c r="A21" i="6" s="1"/>
  <c r="B21" i="6" s="1"/>
  <c r="A22" i="6" s="1"/>
  <c r="B22" i="6" s="1"/>
  <c r="A23" i="6" s="1"/>
  <c r="B23" i="6" s="1"/>
  <c r="H121" i="5"/>
  <c r="H120" i="5"/>
  <c r="C120" i="5"/>
  <c r="H119" i="5"/>
  <c r="C119" i="5"/>
  <c r="H118" i="5"/>
  <c r="C118" i="5"/>
  <c r="H117" i="5"/>
  <c r="C117" i="5"/>
  <c r="H116" i="5"/>
  <c r="C116" i="5"/>
  <c r="H115" i="5"/>
  <c r="C115" i="5"/>
  <c r="H114" i="5"/>
  <c r="C114" i="5"/>
  <c r="H113" i="5"/>
  <c r="C113" i="5"/>
  <c r="H112" i="5"/>
  <c r="C112" i="5"/>
  <c r="H111" i="5"/>
  <c r="C111" i="5"/>
  <c r="H110" i="5"/>
  <c r="C110" i="5"/>
  <c r="H109" i="5"/>
  <c r="C109" i="5"/>
  <c r="H108" i="5"/>
  <c r="C108" i="5"/>
  <c r="H107" i="5"/>
  <c r="C107" i="5"/>
  <c r="H106" i="5"/>
  <c r="C106" i="5"/>
  <c r="H105" i="5"/>
  <c r="C105" i="5"/>
  <c r="H104" i="5"/>
  <c r="C104" i="5"/>
  <c r="B104" i="5" s="1"/>
  <c r="A105" i="5" s="1"/>
  <c r="B105" i="5" s="1"/>
  <c r="A106" i="5" s="1"/>
  <c r="B106" i="5" s="1"/>
  <c r="A107" i="5" s="1"/>
  <c r="B107" i="5" s="1"/>
  <c r="A108" i="5" s="1"/>
  <c r="B108" i="5" s="1"/>
  <c r="A109" i="5" s="1"/>
  <c r="B109" i="5" s="1"/>
  <c r="A110" i="5" s="1"/>
  <c r="B110" i="5" s="1"/>
  <c r="A111" i="5" s="1"/>
  <c r="B111" i="5" s="1"/>
  <c r="A112" i="5" s="1"/>
  <c r="B112" i="5" s="1"/>
  <c r="A113" i="5" s="1"/>
  <c r="B113" i="5" s="1"/>
  <c r="A114" i="5" s="1"/>
  <c r="B114" i="5" s="1"/>
  <c r="A115" i="5" s="1"/>
  <c r="B115" i="5" s="1"/>
  <c r="A116" i="5" s="1"/>
  <c r="B116" i="5" s="1"/>
  <c r="A117" i="5" s="1"/>
  <c r="B117" i="5" s="1"/>
  <c r="A118" i="5" s="1"/>
  <c r="B118" i="5" s="1"/>
  <c r="A119" i="5" s="1"/>
  <c r="B119" i="5" s="1"/>
  <c r="A120" i="5" s="1"/>
  <c r="B120" i="5" s="1"/>
  <c r="A104" i="5"/>
  <c r="H103" i="5"/>
  <c r="C103" i="5"/>
  <c r="H102" i="5"/>
  <c r="H101" i="5"/>
  <c r="C101" i="5"/>
  <c r="H100" i="5"/>
  <c r="C100" i="5"/>
  <c r="H99" i="5"/>
  <c r="C99" i="5"/>
  <c r="H98" i="5"/>
  <c r="C98" i="5"/>
  <c r="H97" i="5"/>
  <c r="C97" i="5"/>
  <c r="H96" i="5"/>
  <c r="C96" i="5"/>
  <c r="B96" i="5"/>
  <c r="A97" i="5" s="1"/>
  <c r="B97" i="5" s="1"/>
  <c r="A98" i="5" s="1"/>
  <c r="B98" i="5" s="1"/>
  <c r="A99" i="5" s="1"/>
  <c r="B99" i="5" s="1"/>
  <c r="A100" i="5" s="1"/>
  <c r="B100" i="5" s="1"/>
  <c r="H95" i="5"/>
  <c r="C95" i="5"/>
  <c r="A95" i="5"/>
  <c r="B95" i="5" s="1"/>
  <c r="H94" i="5"/>
  <c r="C94" i="5"/>
  <c r="B94" i="5"/>
  <c r="H93" i="5"/>
  <c r="C93" i="5"/>
  <c r="H92" i="5"/>
  <c r="C92" i="5"/>
  <c r="H91" i="5"/>
  <c r="C91" i="5"/>
  <c r="H90" i="5"/>
  <c r="C90" i="5"/>
  <c r="H89" i="5"/>
  <c r="C89" i="5"/>
  <c r="H88" i="5"/>
  <c r="C88" i="5"/>
  <c r="H87" i="5"/>
  <c r="C87" i="5"/>
  <c r="H86" i="5"/>
  <c r="C86" i="5"/>
  <c r="H85" i="5"/>
  <c r="C85" i="5"/>
  <c r="H84" i="5"/>
  <c r="C84" i="5"/>
  <c r="H83" i="5"/>
  <c r="C83" i="5"/>
  <c r="H82" i="5"/>
  <c r="C82" i="5"/>
  <c r="B82" i="5" s="1"/>
  <c r="A83" i="5" s="1"/>
  <c r="B83" i="5" s="1"/>
  <c r="A84" i="5" s="1"/>
  <c r="B84" i="5" s="1"/>
  <c r="A85" i="5" s="1"/>
  <c r="B85" i="5" s="1"/>
  <c r="A86" i="5" s="1"/>
  <c r="B86" i="5" s="1"/>
  <c r="A87" i="5" s="1"/>
  <c r="B87" i="5" s="1"/>
  <c r="A88" i="5" s="1"/>
  <c r="B88" i="5" s="1"/>
  <c r="A89" i="5" s="1"/>
  <c r="B89" i="5" s="1"/>
  <c r="A90" i="5" s="1"/>
  <c r="B90" i="5" s="1"/>
  <c r="H81" i="5"/>
  <c r="C81" i="5"/>
  <c r="H80" i="5"/>
  <c r="C80" i="5"/>
  <c r="H79" i="5"/>
  <c r="C79" i="5"/>
  <c r="H78" i="5"/>
  <c r="C78" i="5"/>
  <c r="H77" i="5"/>
  <c r="C77" i="5"/>
  <c r="H76" i="5"/>
  <c r="C76" i="5"/>
  <c r="H75" i="5"/>
  <c r="C75" i="5"/>
  <c r="H74" i="5"/>
  <c r="C74" i="5"/>
  <c r="H73" i="5"/>
  <c r="C73" i="5"/>
  <c r="H72" i="5"/>
  <c r="C72" i="5"/>
  <c r="H71" i="5"/>
  <c r="C71" i="5"/>
  <c r="H70" i="5"/>
  <c r="C70" i="5"/>
  <c r="B70" i="5" s="1"/>
  <c r="A71" i="5" s="1"/>
  <c r="B71" i="5" s="1"/>
  <c r="A72" i="5" s="1"/>
  <c r="B72" i="5" s="1"/>
  <c r="A73" i="5" s="1"/>
  <c r="B73" i="5" s="1"/>
  <c r="A74" i="5" s="1"/>
  <c r="B74" i="5" s="1"/>
  <c r="A75" i="5" s="1"/>
  <c r="B75" i="5" s="1"/>
  <c r="A76" i="5" s="1"/>
  <c r="B76" i="5" s="1"/>
  <c r="A77" i="5" s="1"/>
  <c r="B77" i="5" s="1"/>
  <c r="A78" i="5" s="1"/>
  <c r="B78" i="5" s="1"/>
  <c r="A79" i="5" s="1"/>
  <c r="B79" i="5" s="1"/>
  <c r="A80" i="5" s="1"/>
  <c r="B80" i="5" s="1"/>
  <c r="A81" i="5" s="1"/>
  <c r="B81" i="5" s="1"/>
  <c r="A70" i="5"/>
  <c r="H69" i="5"/>
  <c r="H68" i="5"/>
  <c r="H67" i="5"/>
  <c r="C67" i="5" a="1"/>
  <c r="C67" i="5" s="1"/>
  <c r="H66" i="5"/>
  <c r="C66" i="5" a="1"/>
  <c r="C66" i="5" s="1"/>
  <c r="H65" i="5"/>
  <c r="C65" i="5" a="1"/>
  <c r="C65" i="5" s="1"/>
  <c r="H64" i="5"/>
  <c r="C64" i="5" a="1"/>
  <c r="C64" i="5" s="1"/>
  <c r="H63" i="5"/>
  <c r="C63" i="5" a="1"/>
  <c r="C63" i="5" s="1"/>
  <c r="H62" i="5"/>
  <c r="C62" i="5" a="1"/>
  <c r="C62" i="5" s="1"/>
  <c r="H61" i="5"/>
  <c r="C61" i="5" a="1"/>
  <c r="C61" i="5" s="1"/>
  <c r="H60" i="5"/>
  <c r="C60" i="5" a="1"/>
  <c r="C60" i="5" s="1"/>
  <c r="H59" i="5"/>
  <c r="C59" i="5" a="1"/>
  <c r="C59" i="5" s="1"/>
  <c r="H58" i="5"/>
  <c r="C58" i="5" a="1"/>
  <c r="C58" i="5" s="1"/>
  <c r="H57" i="5"/>
  <c r="C57" i="5" a="1"/>
  <c r="C57" i="5" s="1"/>
  <c r="H56" i="5"/>
  <c r="C56" i="5" a="1"/>
  <c r="C56" i="5" s="1"/>
  <c r="H55" i="5"/>
  <c r="C55" i="5" a="1"/>
  <c r="C55" i="5" s="1"/>
  <c r="H54" i="5"/>
  <c r="C54" i="5" a="1"/>
  <c r="C54" i="5" s="1"/>
  <c r="H53" i="5"/>
  <c r="C53" i="5" a="1"/>
  <c r="C53" i="5" s="1"/>
  <c r="H52" i="5"/>
  <c r="C52" i="5" a="1"/>
  <c r="C52" i="5" s="1"/>
  <c r="H51" i="5"/>
  <c r="C51" i="5" a="1"/>
  <c r="C51" i="5" s="1"/>
  <c r="H50" i="5"/>
  <c r="C50" i="5" a="1"/>
  <c r="C50" i="5" s="1"/>
  <c r="H49" i="5"/>
  <c r="C49" i="5" a="1"/>
  <c r="C49" i="5" s="1"/>
  <c r="H48" i="5"/>
  <c r="C48" i="5" a="1"/>
  <c r="C48" i="5" s="1"/>
  <c r="H47" i="5"/>
  <c r="C47" i="5" a="1"/>
  <c r="C47" i="5" s="1"/>
  <c r="H46" i="5"/>
  <c r="C46" i="5" a="1"/>
  <c r="C46" i="5" s="1"/>
  <c r="H45" i="5"/>
  <c r="C45" i="5" a="1"/>
  <c r="C45" i="5" s="1"/>
  <c r="H44" i="5"/>
  <c r="C44" i="5" a="1"/>
  <c r="C44" i="5" s="1"/>
  <c r="H43" i="5"/>
  <c r="C43" i="5" a="1"/>
  <c r="C43" i="5" s="1"/>
  <c r="H42" i="5"/>
  <c r="C42" i="5" a="1"/>
  <c r="C42" i="5" s="1"/>
  <c r="H41" i="5"/>
  <c r="C41" i="5" a="1"/>
  <c r="C41" i="5" s="1"/>
  <c r="H40" i="5"/>
  <c r="C40" i="5" a="1"/>
  <c r="C40" i="5" s="1"/>
  <c r="H39" i="5"/>
  <c r="C39" i="5" a="1"/>
  <c r="C39" i="5" s="1"/>
  <c r="H38" i="5"/>
  <c r="C38" i="5" a="1"/>
  <c r="C38" i="5" s="1"/>
  <c r="H37" i="5"/>
  <c r="C37" i="5" a="1"/>
  <c r="C37" i="5" s="1"/>
  <c r="H36" i="5"/>
  <c r="C36" i="5"/>
  <c r="H35" i="5"/>
  <c r="C35" i="5"/>
  <c r="H34" i="5"/>
  <c r="C34" i="5"/>
  <c r="H33" i="5"/>
  <c r="C33" i="5"/>
  <c r="H32" i="5"/>
  <c r="C32" i="5"/>
  <c r="H31" i="5"/>
  <c r="C31" i="5"/>
  <c r="H30" i="5"/>
  <c r="H29" i="5"/>
  <c r="H28" i="5"/>
  <c r="C28" i="5"/>
  <c r="H27" i="5"/>
  <c r="C27" i="5"/>
  <c r="H26" i="5"/>
  <c r="C26" i="5"/>
  <c r="H25" i="5"/>
  <c r="C25" i="5"/>
  <c r="H24" i="5"/>
  <c r="C24" i="5"/>
  <c r="H23" i="5"/>
  <c r="C23" i="5"/>
  <c r="H22" i="5"/>
  <c r="C22" i="5"/>
  <c r="H21" i="5"/>
  <c r="C21" i="5"/>
  <c r="H20" i="5"/>
  <c r="C20" i="5"/>
  <c r="H19" i="5"/>
  <c r="C19" i="5"/>
  <c r="H18" i="5"/>
  <c r="C18" i="5"/>
  <c r="H17" i="5"/>
  <c r="C17" i="5"/>
  <c r="H16" i="5"/>
  <c r="C16" i="5"/>
  <c r="H15" i="5"/>
  <c r="C15" i="5"/>
  <c r="H14" i="5"/>
  <c r="C14" i="5"/>
  <c r="H13" i="5"/>
  <c r="C13" i="5"/>
  <c r="H12" i="5"/>
  <c r="C12" i="5"/>
  <c r="H11" i="5"/>
  <c r="C11" i="5"/>
  <c r="H10" i="5"/>
  <c r="C10" i="5"/>
  <c r="H9" i="5"/>
  <c r="C9" i="5"/>
  <c r="H8" i="5"/>
  <c r="C8" i="5"/>
  <c r="H7" i="5"/>
  <c r="C7" i="5"/>
  <c r="H6" i="5"/>
  <c r="C6" i="5"/>
  <c r="H5" i="5"/>
  <c r="C5" i="5"/>
  <c r="H4" i="5"/>
  <c r="C4" i="5"/>
  <c r="H3" i="5"/>
  <c r="C3" i="5"/>
  <c r="H189" i="4"/>
  <c r="H188" i="4"/>
  <c r="C188" i="4"/>
  <c r="H187" i="4"/>
  <c r="C187" i="4"/>
  <c r="H186" i="4"/>
  <c r="C186" i="4"/>
  <c r="H185" i="4"/>
  <c r="C185" i="4"/>
  <c r="H184" i="4"/>
  <c r="C184" i="4"/>
  <c r="A184" i="4"/>
  <c r="B184" i="4" s="1"/>
  <c r="A185" i="4" s="1"/>
  <c r="B185" i="4" s="1"/>
  <c r="A186" i="4" s="1"/>
  <c r="B186" i="4" s="1"/>
  <c r="A187" i="4" s="1"/>
  <c r="B187" i="4" s="1"/>
  <c r="A188" i="4" s="1"/>
  <c r="B188" i="4" s="1"/>
  <c r="H183" i="4"/>
  <c r="H182" i="4"/>
  <c r="C182" i="4"/>
  <c r="H181" i="4"/>
  <c r="C181" i="4"/>
  <c r="H180" i="4"/>
  <c r="C180" i="4"/>
  <c r="H179" i="4"/>
  <c r="C179" i="4"/>
  <c r="H178" i="4"/>
  <c r="C178" i="4"/>
  <c r="B178" i="4" s="1"/>
  <c r="A179" i="4" s="1"/>
  <c r="B179" i="4" s="1"/>
  <c r="A180" i="4" s="1"/>
  <c r="B180" i="4" s="1"/>
  <c r="A181" i="4" s="1"/>
  <c r="B181" i="4" s="1"/>
  <c r="A182" i="4" s="1"/>
  <c r="B182" i="4" s="1"/>
  <c r="H177" i="4"/>
  <c r="C177" i="4"/>
  <c r="H176" i="4"/>
  <c r="C176" i="4"/>
  <c r="H175" i="4"/>
  <c r="C175" i="4"/>
  <c r="B175" i="4"/>
  <c r="A176" i="4" s="1"/>
  <c r="B176" i="4" s="1"/>
  <c r="A177" i="4" s="1"/>
  <c r="B177" i="4" s="1"/>
  <c r="H174" i="4"/>
  <c r="C174" i="4"/>
  <c r="H173" i="4"/>
  <c r="C173" i="4"/>
  <c r="H172" i="4"/>
  <c r="C172" i="4"/>
  <c r="H171" i="4"/>
  <c r="C171" i="4"/>
  <c r="H170" i="4"/>
  <c r="C170" i="4"/>
  <c r="A170" i="4"/>
  <c r="B170" i="4" s="1"/>
  <c r="A171" i="4" s="1"/>
  <c r="B171" i="4" s="1"/>
  <c r="A172" i="4" s="1"/>
  <c r="B172" i="4" s="1"/>
  <c r="A173" i="4" s="1"/>
  <c r="B173" i="4" s="1"/>
  <c r="A174" i="4" s="1"/>
  <c r="B174" i="4" s="1"/>
  <c r="H169" i="4"/>
  <c r="C169" i="4"/>
  <c r="H168" i="4"/>
  <c r="C168" i="4"/>
  <c r="A168" i="4"/>
  <c r="B168" i="4" s="1"/>
  <c r="H167" i="4"/>
  <c r="C167" i="4"/>
  <c r="H166" i="4"/>
  <c r="C166" i="4"/>
  <c r="H165" i="4"/>
  <c r="C165" i="4"/>
  <c r="H164" i="4"/>
  <c r="C164" i="4"/>
  <c r="H163" i="4"/>
  <c r="C163" i="4"/>
  <c r="H162" i="4"/>
  <c r="C162" i="4"/>
  <c r="H161" i="4"/>
  <c r="C161" i="4"/>
  <c r="B161" i="4" s="1"/>
  <c r="A162" i="4" s="1"/>
  <c r="B162" i="4" s="1"/>
  <c r="A163" i="4" s="1"/>
  <c r="B163" i="4" s="1"/>
  <c r="A164" i="4" s="1"/>
  <c r="B164" i="4" s="1"/>
  <c r="A165" i="4" s="1"/>
  <c r="B165" i="4" s="1"/>
  <c r="A166" i="4" s="1"/>
  <c r="B166" i="4" s="1"/>
  <c r="A167" i="4" s="1"/>
  <c r="H160" i="4"/>
  <c r="C160" i="4"/>
  <c r="H159" i="4"/>
  <c r="C159" i="4"/>
  <c r="H158" i="4"/>
  <c r="C158" i="4"/>
  <c r="H157" i="4"/>
  <c r="C157" i="4"/>
  <c r="H156" i="4"/>
  <c r="C156" i="4"/>
  <c r="H155" i="4"/>
  <c r="C155" i="4"/>
  <c r="B155" i="4"/>
  <c r="A156" i="4" s="1"/>
  <c r="B156" i="4" s="1"/>
  <c r="A157" i="4" s="1"/>
  <c r="B157" i="4" s="1"/>
  <c r="A158" i="4" s="1"/>
  <c r="B158" i="4" s="1"/>
  <c r="A159" i="4" s="1"/>
  <c r="B159" i="4" s="1"/>
  <c r="A160" i="4" s="1"/>
  <c r="B160" i="4" s="1"/>
  <c r="H154" i="4"/>
  <c r="C154" i="4"/>
  <c r="H153" i="4"/>
  <c r="C153" i="4"/>
  <c r="H152" i="4"/>
  <c r="C152" i="4"/>
  <c r="A152" i="4"/>
  <c r="B152" i="4" s="1"/>
  <c r="A153" i="4" s="1"/>
  <c r="B153" i="4" s="1"/>
  <c r="A154" i="4" s="1"/>
  <c r="B154" i="4" s="1"/>
  <c r="H151" i="4"/>
  <c r="C151" i="4"/>
  <c r="H150" i="4"/>
  <c r="C150" i="4"/>
  <c r="H149" i="4"/>
  <c r="C149" i="4"/>
  <c r="H148" i="4"/>
  <c r="C148" i="4"/>
  <c r="B148" i="4" s="1"/>
  <c r="A149" i="4" s="1"/>
  <c r="B149" i="4" s="1"/>
  <c r="A150" i="4" s="1"/>
  <c r="B150" i="4" s="1"/>
  <c r="H147" i="4"/>
  <c r="C147" i="4"/>
  <c r="H146" i="4"/>
  <c r="C146" i="4"/>
  <c r="H145" i="4"/>
  <c r="C145" i="4"/>
  <c r="H144" i="4"/>
  <c r="C144" i="4"/>
  <c r="H143" i="4"/>
  <c r="C143" i="4"/>
  <c r="H142" i="4"/>
  <c r="C142" i="4"/>
  <c r="H141" i="4"/>
  <c r="C141" i="4"/>
  <c r="H140" i="4"/>
  <c r="C140" i="4"/>
  <c r="H139" i="4"/>
  <c r="C139" i="4"/>
  <c r="H138" i="4"/>
  <c r="C138" i="4"/>
  <c r="H137" i="4"/>
  <c r="C137" i="4"/>
  <c r="H136" i="4"/>
  <c r="C136" i="4"/>
  <c r="H135" i="4"/>
  <c r="C135" i="4"/>
  <c r="B135" i="4" s="1"/>
  <c r="A136" i="4" s="1"/>
  <c r="B136" i="4" s="1"/>
  <c r="A137" i="4" s="1"/>
  <c r="B137" i="4" s="1"/>
  <c r="A138" i="4" s="1"/>
  <c r="B138" i="4" s="1"/>
  <c r="A139" i="4" s="1"/>
  <c r="B139" i="4" s="1"/>
  <c r="A140" i="4" s="1"/>
  <c r="B140" i="4" s="1"/>
  <c r="A141" i="4" s="1"/>
  <c r="B141" i="4" s="1"/>
  <c r="A142" i="4" s="1"/>
  <c r="B142" i="4" s="1"/>
  <c r="A143" i="4" s="1"/>
  <c r="B143" i="4" s="1"/>
  <c r="A144" i="4" s="1"/>
  <c r="B144" i="4" s="1"/>
  <c r="A145" i="4" s="1"/>
  <c r="B145" i="4" s="1"/>
  <c r="A146" i="4" s="1"/>
  <c r="B146" i="4" s="1"/>
  <c r="A147" i="4" s="1"/>
  <c r="B147" i="4" s="1"/>
  <c r="H134" i="4"/>
  <c r="C134" i="4"/>
  <c r="H133" i="4"/>
  <c r="C133" i="4"/>
  <c r="H132" i="4"/>
  <c r="C132" i="4"/>
  <c r="B132" i="4"/>
  <c r="A133" i="4" s="1"/>
  <c r="B133" i="4" s="1"/>
  <c r="A134" i="4" s="1"/>
  <c r="B134" i="4" s="1"/>
  <c r="A132" i="4"/>
  <c r="H131" i="4"/>
  <c r="C131" i="4"/>
  <c r="H130" i="4"/>
  <c r="C130" i="4"/>
  <c r="H129" i="4"/>
  <c r="C129" i="4"/>
  <c r="H128" i="4"/>
  <c r="H127" i="4"/>
  <c r="C127" i="4"/>
  <c r="B127" i="4" s="1"/>
  <c r="A128" i="4" s="1"/>
  <c r="B128" i="4" s="1"/>
  <c r="A129" i="4" s="1"/>
  <c r="B129" i="4" s="1"/>
  <c r="A130" i="4" s="1"/>
  <c r="B130" i="4" s="1"/>
  <c r="A131" i="4" s="1"/>
  <c r="B131" i="4" s="1"/>
  <c r="H126" i="4"/>
  <c r="C126" i="4"/>
  <c r="H125" i="4"/>
  <c r="C125" i="4"/>
  <c r="H124" i="4"/>
  <c r="C124" i="4"/>
  <c r="H123" i="4"/>
  <c r="C123" i="4"/>
  <c r="B123" i="4" s="1"/>
  <c r="A124" i="4" s="1"/>
  <c r="B124" i="4" s="1"/>
  <c r="A125" i="4" s="1"/>
  <c r="B125" i="4" s="1"/>
  <c r="A126" i="4" s="1"/>
  <c r="B126" i="4" s="1"/>
  <c r="H122" i="4"/>
  <c r="C122" i="4"/>
  <c r="B122" i="4" s="1"/>
  <c r="H121" i="4"/>
  <c r="C121" i="4"/>
  <c r="H120" i="4"/>
  <c r="C120" i="4"/>
  <c r="H119" i="4"/>
  <c r="C119" i="4"/>
  <c r="B119" i="4"/>
  <c r="A120" i="4" s="1"/>
  <c r="B120" i="4" s="1"/>
  <c r="A121" i="4" s="1"/>
  <c r="B121" i="4" s="1"/>
  <c r="H118" i="4"/>
  <c r="C118" i="4"/>
  <c r="H117" i="4"/>
  <c r="C117" i="4"/>
  <c r="H116" i="4"/>
  <c r="C116" i="4"/>
  <c r="H115" i="4"/>
  <c r="C115" i="4"/>
  <c r="H114" i="4"/>
  <c r="C114" i="4"/>
  <c r="H113" i="4"/>
  <c r="C113" i="4"/>
  <c r="H112" i="4"/>
  <c r="C112" i="4"/>
  <c r="H111" i="4"/>
  <c r="C111" i="4"/>
  <c r="H110" i="4"/>
  <c r="C110" i="4"/>
  <c r="H109" i="4"/>
  <c r="C109" i="4"/>
  <c r="H108" i="4"/>
  <c r="H107" i="4"/>
  <c r="C107" i="4"/>
  <c r="B107" i="4" s="1"/>
  <c r="A108" i="4" s="1"/>
  <c r="B108" i="4" s="1"/>
  <c r="A109" i="4" s="1"/>
  <c r="B109" i="4" s="1"/>
  <c r="A110" i="4" s="1"/>
  <c r="B110" i="4" s="1"/>
  <c r="A111" i="4" s="1"/>
  <c r="B111" i="4" s="1"/>
  <c r="A112" i="4" s="1"/>
  <c r="B112" i="4" s="1"/>
  <c r="A113" i="4" s="1"/>
  <c r="B113" i="4" s="1"/>
  <c r="A114" i="4" s="1"/>
  <c r="B114" i="4" s="1"/>
  <c r="A115" i="4" s="1"/>
  <c r="B115" i="4" s="1"/>
  <c r="A116" i="4" s="1"/>
  <c r="B116" i="4" s="1"/>
  <c r="A117" i="4" s="1"/>
  <c r="B117" i="4" s="1"/>
  <c r="A118" i="4" s="1"/>
  <c r="B118" i="4" s="1"/>
  <c r="H106" i="4"/>
  <c r="C106" i="4"/>
  <c r="H105" i="4"/>
  <c r="C105" i="4"/>
  <c r="B105" i="4" s="1"/>
  <c r="A106" i="4" s="1"/>
  <c r="B106" i="4" s="1"/>
  <c r="H104" i="4"/>
  <c r="C104" i="4"/>
  <c r="H103" i="4"/>
  <c r="C103" i="4"/>
  <c r="H102" i="4"/>
  <c r="C102" i="4"/>
  <c r="H101" i="4"/>
  <c r="C101" i="4"/>
  <c r="H100" i="4"/>
  <c r="C100" i="4"/>
  <c r="H99" i="4"/>
  <c r="C99" i="4"/>
  <c r="H98" i="4"/>
  <c r="C98" i="4"/>
  <c r="B98" i="4"/>
  <c r="A99" i="4" s="1"/>
  <c r="B99" i="4" s="1"/>
  <c r="A100" i="4" s="1"/>
  <c r="B100" i="4" s="1"/>
  <c r="A101" i="4" s="1"/>
  <c r="B101" i="4" s="1"/>
  <c r="A102" i="4" s="1"/>
  <c r="B102" i="4" s="1"/>
  <c r="A103" i="4" s="1"/>
  <c r="B103" i="4" s="1"/>
  <c r="A104" i="4" s="1"/>
  <c r="B104" i="4" s="1"/>
  <c r="H97" i="4"/>
  <c r="C97" i="4"/>
  <c r="B97" i="4" s="1"/>
  <c r="H96" i="4"/>
  <c r="C96" i="4"/>
  <c r="H95" i="4"/>
  <c r="C95" i="4"/>
  <c r="H94" i="4"/>
  <c r="C94" i="4"/>
  <c r="H93" i="4"/>
  <c r="C93" i="4"/>
  <c r="H92" i="4"/>
  <c r="H91" i="4"/>
  <c r="C91" i="4"/>
  <c r="H90" i="4"/>
  <c r="H89" i="4"/>
  <c r="C89" i="4"/>
  <c r="H88" i="4"/>
  <c r="C88" i="4"/>
  <c r="H87" i="4"/>
  <c r="C87" i="4"/>
  <c r="H86" i="4"/>
  <c r="C86" i="4"/>
  <c r="H85" i="4"/>
  <c r="C85" i="4"/>
  <c r="B85" i="4"/>
  <c r="A86" i="4" s="1"/>
  <c r="B86" i="4" s="1"/>
  <c r="A87" i="4" s="1"/>
  <c r="B87" i="4" s="1"/>
  <c r="A88" i="4" s="1"/>
  <c r="B88" i="4" s="1"/>
  <c r="A89" i="4" s="1"/>
  <c r="B89" i="4" s="1"/>
  <c r="A90" i="4" s="1"/>
  <c r="B90" i="4" s="1"/>
  <c r="A91" i="4" s="1"/>
  <c r="B91" i="4" s="1"/>
  <c r="A92" i="4" s="1"/>
  <c r="B92" i="4" s="1"/>
  <c r="A93" i="4" s="1"/>
  <c r="B93" i="4" s="1"/>
  <c r="A94" i="4" s="1"/>
  <c r="B94" i="4" s="1"/>
  <c r="A95" i="4" s="1"/>
  <c r="B95" i="4" s="1"/>
  <c r="A96" i="4" s="1"/>
  <c r="B96" i="4" s="1"/>
  <c r="H84" i="4"/>
  <c r="C83" i="4"/>
  <c r="B83" i="4" s="1"/>
  <c r="A84" i="4" s="1"/>
  <c r="B84" i="4" s="1"/>
  <c r="H82" i="4"/>
  <c r="C82" i="4"/>
  <c r="H81" i="4"/>
  <c r="C81" i="4"/>
  <c r="H80" i="4"/>
  <c r="C80" i="4"/>
  <c r="H79" i="4"/>
  <c r="C79" i="4"/>
  <c r="B79" i="4"/>
  <c r="A80" i="4" s="1"/>
  <c r="B80" i="4" s="1"/>
  <c r="A81" i="4" s="1"/>
  <c r="B81" i="4" s="1"/>
  <c r="A82" i="4" s="1"/>
  <c r="B82" i="4" s="1"/>
  <c r="H78" i="4"/>
  <c r="C78" i="4"/>
  <c r="H77" i="4"/>
  <c r="C77" i="4"/>
  <c r="H76" i="4"/>
  <c r="C76" i="4"/>
  <c r="B76" i="4" s="1"/>
  <c r="A77" i="4" s="1"/>
  <c r="B77" i="4" s="1"/>
  <c r="A78" i="4" s="1"/>
  <c r="B78" i="4" s="1"/>
  <c r="H74" i="4"/>
  <c r="H73" i="4"/>
  <c r="C73" i="4"/>
  <c r="H72" i="4"/>
  <c r="C72" i="4"/>
  <c r="H71" i="4"/>
  <c r="C71" i="4"/>
  <c r="H70" i="4"/>
  <c r="C70" i="4"/>
  <c r="H69" i="4"/>
  <c r="C69" i="4"/>
  <c r="B69" i="4" s="1"/>
  <c r="A70" i="4" s="1"/>
  <c r="B70" i="4" s="1"/>
  <c r="A71" i="4" s="1"/>
  <c r="B71" i="4" s="1"/>
  <c r="A72" i="4" s="1"/>
  <c r="B72" i="4" s="1"/>
  <c r="A73" i="4" s="1"/>
  <c r="B73" i="4" s="1"/>
  <c r="A74" i="4" s="1"/>
  <c r="B74" i="4" s="1"/>
  <c r="H68" i="4"/>
  <c r="C68" i="4"/>
  <c r="H67" i="4"/>
  <c r="C67" i="4"/>
  <c r="H66" i="4"/>
  <c r="C66" i="4"/>
  <c r="H65" i="4"/>
  <c r="C65" i="4"/>
  <c r="H64" i="4"/>
  <c r="C64" i="4"/>
  <c r="H63" i="4"/>
  <c r="C63" i="4"/>
  <c r="H62" i="4"/>
  <c r="C62" i="4"/>
  <c r="H61" i="4"/>
  <c r="C61" i="4"/>
  <c r="H60" i="4"/>
  <c r="C60" i="4"/>
  <c r="H59" i="4"/>
  <c r="C59" i="4"/>
  <c r="H58" i="4"/>
  <c r="H57" i="4"/>
  <c r="C57" i="4"/>
  <c r="H56" i="4"/>
  <c r="C56" i="4"/>
  <c r="H55" i="4"/>
  <c r="C55" i="4"/>
  <c r="B55" i="4" s="1"/>
  <c r="A56" i="4" s="1"/>
  <c r="B56" i="4" s="1"/>
  <c r="A57" i="4" s="1"/>
  <c r="B57" i="4" s="1"/>
  <c r="A58" i="4" s="1"/>
  <c r="B58" i="4" s="1"/>
  <c r="A59" i="4" s="1"/>
  <c r="B59" i="4" s="1"/>
  <c r="A60" i="4" s="1"/>
  <c r="B60" i="4" s="1"/>
  <c r="A61" i="4" s="1"/>
  <c r="B61" i="4" s="1"/>
  <c r="A62" i="4" s="1"/>
  <c r="B62" i="4" s="1"/>
  <c r="A63" i="4" s="1"/>
  <c r="B63" i="4" s="1"/>
  <c r="A64" i="4" s="1"/>
  <c r="B64" i="4" s="1"/>
  <c r="A65" i="4" s="1"/>
  <c r="B65" i="4" s="1"/>
  <c r="A66" i="4" s="1"/>
  <c r="B66" i="4" s="1"/>
  <c r="A67" i="4" s="1"/>
  <c r="B67" i="4" s="1"/>
  <c r="A68" i="4" s="1"/>
  <c r="B68" i="4" s="1"/>
  <c r="H54" i="4"/>
  <c r="C54" i="4"/>
  <c r="B54" i="4"/>
  <c r="H53" i="4"/>
  <c r="C53" i="4"/>
  <c r="B53" i="4" s="1"/>
  <c r="H52" i="4"/>
  <c r="H51" i="4"/>
  <c r="C51" i="4"/>
  <c r="H50" i="4"/>
  <c r="C50" i="4"/>
  <c r="H49" i="4"/>
  <c r="C49" i="4"/>
  <c r="H48" i="4"/>
  <c r="C48" i="4"/>
  <c r="H47" i="4"/>
  <c r="C47" i="4"/>
  <c r="H46" i="4"/>
  <c r="C46" i="4"/>
  <c r="H45" i="4"/>
  <c r="C45" i="4"/>
  <c r="B45" i="4" s="1"/>
  <c r="A46" i="4" s="1"/>
  <c r="B46" i="4" s="1"/>
  <c r="A47" i="4" s="1"/>
  <c r="B47" i="4" s="1"/>
  <c r="A48" i="4" s="1"/>
  <c r="B48" i="4" s="1"/>
  <c r="A49" i="4" s="1"/>
  <c r="B49" i="4" s="1"/>
  <c r="A50" i="4" s="1"/>
  <c r="B50" i="4" s="1"/>
  <c r="A51" i="4" s="1"/>
  <c r="B51" i="4" s="1"/>
  <c r="A52" i="4" s="1"/>
  <c r="B52" i="4" s="1"/>
  <c r="H44" i="4"/>
  <c r="H43" i="4"/>
  <c r="C43" i="4"/>
  <c r="H42" i="4"/>
  <c r="C42" i="4"/>
  <c r="H41" i="4"/>
  <c r="C41" i="4"/>
  <c r="H40" i="4"/>
  <c r="H39" i="4"/>
  <c r="C39" i="4"/>
  <c r="B39" i="4"/>
  <c r="A40" i="4" s="1"/>
  <c r="B40" i="4" s="1"/>
  <c r="A41" i="4" s="1"/>
  <c r="B41" i="4" s="1"/>
  <c r="A42" i="4" s="1"/>
  <c r="B42" i="4" s="1"/>
  <c r="A43" i="4" s="1"/>
  <c r="B43" i="4" s="1"/>
  <c r="A44" i="4" s="1"/>
  <c r="B44" i="4" s="1"/>
  <c r="H38" i="4"/>
  <c r="C38" i="4"/>
  <c r="H37" i="4"/>
  <c r="C37" i="4"/>
  <c r="B37" i="4" s="1"/>
  <c r="A38" i="4" s="1"/>
  <c r="B38" i="4" s="1"/>
  <c r="H36" i="4"/>
  <c r="C36" i="4"/>
  <c r="H35" i="4"/>
  <c r="C35" i="4"/>
  <c r="B35" i="4" s="1"/>
  <c r="A36" i="4" s="1"/>
  <c r="B36" i="4" s="1"/>
  <c r="H34" i="4"/>
  <c r="C34" i="4"/>
  <c r="H33" i="4"/>
  <c r="C33" i="4"/>
  <c r="H32" i="4"/>
  <c r="C32" i="4"/>
  <c r="H31" i="4"/>
  <c r="C31" i="4"/>
  <c r="H30" i="4"/>
  <c r="C30" i="4"/>
  <c r="H29" i="4"/>
  <c r="C29" i="4"/>
  <c r="H28" i="4"/>
  <c r="C28" i="4"/>
  <c r="H27" i="4"/>
  <c r="C27" i="4"/>
  <c r="H26" i="4"/>
  <c r="C26" i="4"/>
  <c r="H25" i="4"/>
  <c r="C25" i="4"/>
  <c r="H24" i="4"/>
  <c r="C24" i="4"/>
  <c r="H23" i="4"/>
  <c r="C23" i="4"/>
  <c r="B23" i="4" s="1"/>
  <c r="A24" i="4" s="1"/>
  <c r="B24" i="4" s="1"/>
  <c r="A25" i="4" s="1"/>
  <c r="B25" i="4" s="1"/>
  <c r="A26" i="4" s="1"/>
  <c r="B26" i="4" s="1"/>
  <c r="A27" i="4" s="1"/>
  <c r="B27" i="4" s="1"/>
  <c r="A28" i="4" s="1"/>
  <c r="B28" i="4" s="1"/>
  <c r="A29" i="4" s="1"/>
  <c r="B29" i="4" s="1"/>
  <c r="A30" i="4" s="1"/>
  <c r="B30" i="4" s="1"/>
  <c r="A31" i="4" s="1"/>
  <c r="B31" i="4" s="1"/>
  <c r="A32" i="4" s="1"/>
  <c r="B32" i="4" s="1"/>
  <c r="A33" i="4" s="1"/>
  <c r="B33" i="4" s="1"/>
  <c r="A34" i="4" s="1"/>
  <c r="B34" i="4" s="1"/>
  <c r="H22" i="4"/>
  <c r="C22" i="4"/>
  <c r="H21" i="4"/>
  <c r="C21" i="4"/>
  <c r="H20" i="4"/>
  <c r="C20" i="4"/>
  <c r="H19" i="4"/>
  <c r="C19" i="4"/>
  <c r="B19" i="4"/>
  <c r="A20" i="4" s="1"/>
  <c r="B20" i="4" s="1"/>
  <c r="A21" i="4" s="1"/>
  <c r="B21" i="4" s="1"/>
  <c r="A22" i="4" s="1"/>
  <c r="B22" i="4" s="1"/>
  <c r="H18" i="4"/>
  <c r="C18" i="4"/>
  <c r="H17" i="4"/>
  <c r="C17" i="4"/>
  <c r="B17" i="4" s="1"/>
  <c r="A18" i="4" s="1"/>
  <c r="B18" i="4" s="1"/>
  <c r="H16" i="4"/>
  <c r="H15" i="4"/>
  <c r="C15" i="4"/>
  <c r="H14" i="4"/>
  <c r="C14" i="4"/>
  <c r="H13" i="4"/>
  <c r="C13" i="4"/>
  <c r="B13" i="4" s="1"/>
  <c r="A14" i="4" s="1"/>
  <c r="B14" i="4" s="1"/>
  <c r="A15" i="4" s="1"/>
  <c r="B15" i="4" s="1"/>
  <c r="A16" i="4" s="1"/>
  <c r="B16" i="4" s="1"/>
  <c r="H12" i="4"/>
  <c r="C12" i="4"/>
  <c r="H11" i="4"/>
  <c r="C11" i="4"/>
  <c r="B11" i="4"/>
  <c r="A12" i="4" s="1"/>
  <c r="B12" i="4" s="1"/>
  <c r="H10" i="4"/>
  <c r="C10" i="4"/>
  <c r="H9" i="4"/>
  <c r="C9" i="4"/>
  <c r="H8" i="4"/>
  <c r="C8" i="4"/>
  <c r="H7" i="4"/>
  <c r="C7" i="4"/>
  <c r="H6" i="4"/>
  <c r="C6" i="4"/>
  <c r="H5" i="4"/>
  <c r="C5" i="4"/>
  <c r="H4" i="4"/>
  <c r="C4" i="4"/>
  <c r="A4" i="4"/>
  <c r="B4" i="4" s="1"/>
  <c r="A5" i="4" s="1"/>
  <c r="B5" i="4" s="1"/>
  <c r="A6" i="4" s="1"/>
  <c r="B6" i="4" s="1"/>
  <c r="A7" i="4" s="1"/>
  <c r="B7" i="4" s="1"/>
  <c r="A8" i="4" s="1"/>
  <c r="B8" i="4" s="1"/>
  <c r="A9" i="4" s="1"/>
  <c r="B9" i="4" s="1"/>
  <c r="A10" i="4" s="1"/>
  <c r="B10" i="4" s="1"/>
  <c r="H3" i="4"/>
  <c r="C3" i="4"/>
  <c r="A3" i="4" s="1"/>
  <c r="H106" i="3"/>
  <c r="C106" i="3"/>
  <c r="H105" i="3"/>
  <c r="C105" i="3"/>
  <c r="H104" i="3"/>
  <c r="C104" i="3"/>
  <c r="H103" i="3"/>
  <c r="C103" i="3"/>
  <c r="H102" i="3"/>
  <c r="C102" i="3"/>
  <c r="H101" i="3"/>
  <c r="C101" i="3"/>
  <c r="H100" i="3"/>
  <c r="C100" i="3"/>
  <c r="H99" i="3"/>
  <c r="C99" i="3"/>
  <c r="H98" i="3"/>
  <c r="C98" i="3"/>
  <c r="B98" i="3" s="1"/>
  <c r="A99" i="3" s="1"/>
  <c r="B99" i="3" s="1"/>
  <c r="A100" i="3" s="1"/>
  <c r="B100" i="3" s="1"/>
  <c r="A101" i="3" s="1"/>
  <c r="B101" i="3" s="1"/>
  <c r="A102" i="3" s="1"/>
  <c r="B102" i="3" s="1"/>
  <c r="A103" i="3" s="1"/>
  <c r="B103" i="3" s="1"/>
  <c r="A104" i="3" s="1"/>
  <c r="B104" i="3" s="1"/>
  <c r="A105" i="3" s="1"/>
  <c r="B105" i="3" s="1"/>
  <c r="A106" i="3" s="1"/>
  <c r="B106" i="3" s="1"/>
  <c r="A98" i="3"/>
  <c r="H97" i="3"/>
  <c r="C97" i="3"/>
  <c r="H96" i="3"/>
  <c r="C96" i="3"/>
  <c r="A96" i="3"/>
  <c r="B96" i="3" s="1"/>
  <c r="A97" i="3" s="1"/>
  <c r="B97" i="3" s="1"/>
  <c r="H95" i="3"/>
  <c r="C95" i="3"/>
  <c r="H94" i="3"/>
  <c r="C94" i="3"/>
  <c r="B94" i="3"/>
  <c r="A95" i="3" s="1"/>
  <c r="H93" i="3"/>
  <c r="C93" i="3"/>
  <c r="B93" i="3"/>
  <c r="H92" i="3"/>
  <c r="C92" i="3"/>
  <c r="H91" i="3"/>
  <c r="C91" i="3"/>
  <c r="H90" i="3"/>
  <c r="C90" i="3"/>
  <c r="H89" i="3"/>
  <c r="C89" i="3"/>
  <c r="H88" i="3"/>
  <c r="C88" i="3"/>
  <c r="H87" i="3"/>
  <c r="C87" i="3"/>
  <c r="H86" i="3"/>
  <c r="C86" i="3"/>
  <c r="H85" i="3"/>
  <c r="C85" i="3"/>
  <c r="B85" i="3" s="1"/>
  <c r="A86" i="3" s="1"/>
  <c r="B86" i="3" s="1"/>
  <c r="A87" i="3" s="1"/>
  <c r="B87" i="3" s="1"/>
  <c r="A88" i="3" s="1"/>
  <c r="B88" i="3" s="1"/>
  <c r="A89" i="3" s="1"/>
  <c r="B89" i="3" s="1"/>
  <c r="A90" i="3" s="1"/>
  <c r="B90" i="3" s="1"/>
  <c r="A91" i="3" s="1"/>
  <c r="B91" i="3" s="1"/>
  <c r="A92" i="3" s="1"/>
  <c r="B92" i="3" s="1"/>
  <c r="H84" i="3"/>
  <c r="C84" i="3"/>
  <c r="H83" i="3"/>
  <c r="C83" i="3"/>
  <c r="B83" i="3" s="1"/>
  <c r="A84" i="3" s="1"/>
  <c r="B84" i="3" s="1"/>
  <c r="H82" i="3"/>
  <c r="C82" i="3"/>
  <c r="H81" i="3"/>
  <c r="C81" i="3"/>
  <c r="H80" i="3"/>
  <c r="C80" i="3"/>
  <c r="H79" i="3"/>
  <c r="C79" i="3"/>
  <c r="H78" i="3"/>
  <c r="C78" i="3"/>
  <c r="H77" i="3"/>
  <c r="C77" i="3"/>
  <c r="B77" i="3" s="1"/>
  <c r="A78" i="3" s="1"/>
  <c r="B78" i="3" s="1"/>
  <c r="A79" i="3" s="1"/>
  <c r="B79" i="3" s="1"/>
  <c r="A80" i="3" s="1"/>
  <c r="B80" i="3" s="1"/>
  <c r="A81" i="3" s="1"/>
  <c r="B81" i="3" s="1"/>
  <c r="A82" i="3" s="1"/>
  <c r="B82" i="3" s="1"/>
  <c r="H76" i="3"/>
  <c r="C76" i="3"/>
  <c r="H75" i="3"/>
  <c r="C75" i="3"/>
  <c r="B75" i="3"/>
  <c r="A76" i="3" s="1"/>
  <c r="B76" i="3" s="1"/>
  <c r="H74" i="3"/>
  <c r="C74" i="3"/>
  <c r="H73" i="3"/>
  <c r="C73" i="3"/>
  <c r="H72" i="3"/>
  <c r="C72" i="3"/>
  <c r="A72" i="3"/>
  <c r="B72" i="3" s="1"/>
  <c r="A73" i="3" s="1"/>
  <c r="B73" i="3" s="1"/>
  <c r="A74" i="3" s="1"/>
  <c r="B74" i="3" s="1"/>
  <c r="H71" i="3"/>
  <c r="H70" i="3"/>
  <c r="C70" i="3"/>
  <c r="H69" i="3"/>
  <c r="C69" i="3"/>
  <c r="B69" i="3" s="1"/>
  <c r="A70" i="3" s="1"/>
  <c r="B70" i="3" s="1"/>
  <c r="H68" i="3"/>
  <c r="C68" i="3"/>
  <c r="A68" i="3"/>
  <c r="B68" i="3" s="1"/>
  <c r="H67" i="3"/>
  <c r="C67" i="3"/>
  <c r="H66" i="3"/>
  <c r="C66" i="3"/>
  <c r="H65" i="3"/>
  <c r="C65" i="3"/>
  <c r="B65" i="3" s="1"/>
  <c r="A66" i="3" s="1"/>
  <c r="B66" i="3" s="1"/>
  <c r="A67" i="3" s="1"/>
  <c r="H64" i="3"/>
  <c r="C64" i="3"/>
  <c r="H63" i="3"/>
  <c r="C63" i="3"/>
  <c r="H62" i="3"/>
  <c r="C62" i="3"/>
  <c r="H61" i="3"/>
  <c r="C61" i="3"/>
  <c r="H60" i="3"/>
  <c r="C60" i="3"/>
  <c r="H59" i="3"/>
  <c r="C59" i="3"/>
  <c r="H58" i="3"/>
  <c r="C58" i="3"/>
  <c r="H57" i="3"/>
  <c r="C57" i="3"/>
  <c r="B57" i="3" s="1"/>
  <c r="A58" i="3" s="1"/>
  <c r="B58" i="3" s="1"/>
  <c r="A59" i="3" s="1"/>
  <c r="B59" i="3" s="1"/>
  <c r="A60" i="3" s="1"/>
  <c r="B60" i="3" s="1"/>
  <c r="A61" i="3" s="1"/>
  <c r="B61" i="3" s="1"/>
  <c r="A62" i="3" s="1"/>
  <c r="B62" i="3" s="1"/>
  <c r="A63" i="3" s="1"/>
  <c r="B63" i="3" s="1"/>
  <c r="A64" i="3" s="1"/>
  <c r="B64" i="3" s="1"/>
  <c r="H56" i="3"/>
  <c r="C56" i="3"/>
  <c r="H55" i="3"/>
  <c r="C55" i="3"/>
  <c r="B55" i="3"/>
  <c r="A56" i="3" s="1"/>
  <c r="B56" i="3" s="1"/>
  <c r="H54" i="3"/>
  <c r="C54" i="3"/>
  <c r="H53" i="3"/>
  <c r="C53" i="3"/>
  <c r="H52" i="3"/>
  <c r="C52" i="3"/>
  <c r="H51" i="3"/>
  <c r="C51" i="3"/>
  <c r="C50" i="3"/>
  <c r="H49" i="3"/>
  <c r="C49" i="3"/>
  <c r="H48" i="3"/>
  <c r="C48" i="3"/>
  <c r="H47" i="3"/>
  <c r="C47" i="3"/>
  <c r="B47" i="3" s="1"/>
  <c r="A48" i="3" s="1"/>
  <c r="B48" i="3" s="1"/>
  <c r="A49" i="3" s="1"/>
  <c r="B49" i="3" s="1"/>
  <c r="A50" i="3" s="1"/>
  <c r="B50" i="3" s="1"/>
  <c r="A51" i="3" s="1"/>
  <c r="B51" i="3" s="1"/>
  <c r="A52" i="3" s="1"/>
  <c r="B52" i="3" s="1"/>
  <c r="A53" i="3" s="1"/>
  <c r="B53" i="3" s="1"/>
  <c r="A54" i="3" s="1"/>
  <c r="B54" i="3" s="1"/>
  <c r="H46" i="3"/>
  <c r="C46" i="3"/>
  <c r="H45" i="3"/>
  <c r="C45" i="3"/>
  <c r="H44" i="3"/>
  <c r="C44" i="3"/>
  <c r="H43" i="3"/>
  <c r="C43" i="3"/>
  <c r="B43" i="3"/>
  <c r="A44" i="3" s="1"/>
  <c r="B44" i="3" s="1"/>
  <c r="A45" i="3" s="1"/>
  <c r="B45" i="3" s="1"/>
  <c r="A46" i="3" s="1"/>
  <c r="B46" i="3" s="1"/>
  <c r="H42" i="3"/>
  <c r="C42" i="3"/>
  <c r="H41" i="3"/>
  <c r="C41" i="3"/>
  <c r="B41" i="3"/>
  <c r="A42" i="3" s="1"/>
  <c r="B42" i="3" s="1"/>
  <c r="C40" i="3"/>
  <c r="H39" i="3"/>
  <c r="C39" i="3"/>
  <c r="H38" i="3"/>
  <c r="C38" i="3"/>
  <c r="H37" i="3"/>
  <c r="C37" i="3"/>
  <c r="B37" i="3" s="1"/>
  <c r="A38" i="3" s="1"/>
  <c r="B38" i="3" s="1"/>
  <c r="A39" i="3" s="1"/>
  <c r="B39" i="3" s="1"/>
  <c r="A40" i="3" s="1"/>
  <c r="B40" i="3" s="1"/>
  <c r="H36" i="3"/>
  <c r="C36" i="3"/>
  <c r="H35" i="3"/>
  <c r="C35" i="3"/>
  <c r="H34" i="3"/>
  <c r="C34" i="3"/>
  <c r="H33" i="3"/>
  <c r="C33" i="3"/>
  <c r="B33" i="3"/>
  <c r="A34" i="3" s="1"/>
  <c r="B34" i="3" s="1"/>
  <c r="A35" i="3" s="1"/>
  <c r="B35" i="3" s="1"/>
  <c r="A36" i="3" s="1"/>
  <c r="B36" i="3" s="1"/>
  <c r="H32" i="3"/>
  <c r="H31" i="3"/>
  <c r="C31" i="3"/>
  <c r="H30" i="3"/>
  <c r="C30" i="3"/>
  <c r="B30" i="3" s="1"/>
  <c r="A31" i="3" s="1"/>
  <c r="B31" i="3" s="1"/>
  <c r="H29" i="3"/>
  <c r="C29" i="3"/>
  <c r="H28" i="3"/>
  <c r="C28" i="3"/>
  <c r="H27" i="3"/>
  <c r="C27" i="3"/>
  <c r="H26" i="3"/>
  <c r="C26" i="3"/>
  <c r="B26" i="3"/>
  <c r="A27" i="3" s="1"/>
  <c r="B27" i="3" s="1"/>
  <c r="A28" i="3" s="1"/>
  <c r="B28" i="3" s="1"/>
  <c r="A29" i="3" s="1"/>
  <c r="B29" i="3" s="1"/>
  <c r="H25" i="3"/>
  <c r="C25" i="3"/>
  <c r="H24" i="3"/>
  <c r="C24" i="3"/>
  <c r="H23" i="3"/>
  <c r="C23" i="3"/>
  <c r="H22" i="3"/>
  <c r="C22" i="3"/>
  <c r="H21" i="3"/>
  <c r="C21" i="3"/>
  <c r="H20" i="3"/>
  <c r="C20" i="3"/>
  <c r="B20" i="3" s="1"/>
  <c r="A21" i="3" s="1"/>
  <c r="B21" i="3" s="1"/>
  <c r="A22" i="3" s="1"/>
  <c r="B22" i="3" s="1"/>
  <c r="A23" i="3" s="1"/>
  <c r="B23" i="3" s="1"/>
  <c r="A24" i="3" s="1"/>
  <c r="B24" i="3" s="1"/>
  <c r="A25" i="3" s="1"/>
  <c r="B25" i="3" s="1"/>
  <c r="H19" i="3"/>
  <c r="C19" i="3"/>
  <c r="H18" i="3"/>
  <c r="C18" i="3"/>
  <c r="H17" i="3"/>
  <c r="C17" i="3"/>
  <c r="H16" i="3"/>
  <c r="C16" i="3"/>
  <c r="H15" i="3"/>
  <c r="C15" i="3"/>
  <c r="H14" i="3"/>
  <c r="C14" i="3"/>
  <c r="B14" i="3" s="1"/>
  <c r="A15" i="3" s="1"/>
  <c r="B15" i="3" s="1"/>
  <c r="A16" i="3" s="1"/>
  <c r="B16" i="3" s="1"/>
  <c r="A17" i="3" s="1"/>
  <c r="B17" i="3" s="1"/>
  <c r="A18" i="3" s="1"/>
  <c r="B18" i="3" s="1"/>
  <c r="A19" i="3" s="1"/>
  <c r="B19" i="3" s="1"/>
  <c r="H13" i="3"/>
  <c r="C13" i="3"/>
  <c r="H12" i="3"/>
  <c r="C12" i="3"/>
  <c r="H11" i="3"/>
  <c r="C11" i="3"/>
  <c r="B11" i="3" s="1"/>
  <c r="A12" i="3" s="1"/>
  <c r="B12" i="3" s="1"/>
  <c r="A13" i="3" s="1"/>
  <c r="B13" i="3" s="1"/>
  <c r="H10" i="3"/>
  <c r="C10" i="3"/>
  <c r="H9" i="3"/>
  <c r="C9" i="3"/>
  <c r="B9" i="3"/>
  <c r="A10" i="3" s="1"/>
  <c r="B10" i="3" s="1"/>
  <c r="A9" i="3"/>
  <c r="H8" i="3"/>
  <c r="C8" i="3"/>
  <c r="B8" i="3"/>
  <c r="H7" i="3"/>
  <c r="C7" i="3"/>
  <c r="H6" i="3"/>
  <c r="C6" i="3"/>
  <c r="H5" i="3"/>
  <c r="C5" i="3"/>
  <c r="H4" i="3"/>
  <c r="C4" i="3"/>
  <c r="A4" i="3"/>
  <c r="B4" i="3" s="1"/>
  <c r="A5" i="3" s="1"/>
  <c r="B5" i="3" s="1"/>
  <c r="A6" i="3" s="1"/>
  <c r="B6" i="3" s="1"/>
  <c r="A7" i="3" s="1"/>
  <c r="B7" i="3" s="1"/>
  <c r="C3" i="3"/>
  <c r="B3" i="3" s="1"/>
  <c r="A3" i="3"/>
  <c r="H12" i="2"/>
  <c r="C12" i="2"/>
  <c r="H11" i="2"/>
  <c r="C11" i="2"/>
  <c r="H10" i="2"/>
  <c r="C10" i="2"/>
  <c r="H9" i="2"/>
  <c r="C9" i="2"/>
  <c r="H8" i="2"/>
  <c r="C8" i="2"/>
  <c r="H7" i="2"/>
  <c r="C7" i="2"/>
  <c r="H6" i="2"/>
  <c r="C6" i="2"/>
  <c r="H5" i="2"/>
  <c r="C5" i="2"/>
  <c r="H4" i="2"/>
  <c r="C4" i="2"/>
  <c r="B4" i="2" s="1"/>
  <c r="A5" i="2" s="1"/>
  <c r="B5" i="2" s="1"/>
  <c r="A6" i="2" s="1"/>
  <c r="B6" i="2" s="1"/>
  <c r="A7" i="2" s="1"/>
  <c r="B7" i="2" s="1"/>
  <c r="A8" i="2" s="1"/>
  <c r="B8" i="2" s="1"/>
  <c r="A9" i="2" s="1"/>
  <c r="B9" i="2" s="1"/>
  <c r="A10" i="2" s="1"/>
  <c r="B10" i="2" s="1"/>
  <c r="A11" i="2" s="1"/>
  <c r="B11" i="2" s="1"/>
  <c r="A12" i="2" s="1"/>
  <c r="B12" i="2" s="1"/>
  <c r="A4" i="2"/>
  <c r="H3" i="2"/>
  <c r="C3" i="2"/>
  <c r="A234" i="11" l="1"/>
  <c r="B234" i="11" s="1"/>
  <c r="A235" i="11" s="1"/>
  <c r="B235" i="11" s="1"/>
  <c r="A236" i="11" s="1"/>
  <c r="B236" i="11" s="1"/>
  <c r="A101" i="5"/>
  <c r="B101" i="5" s="1"/>
  <c r="A91" i="5"/>
  <c r="B91" i="5" s="1"/>
  <c r="A92" i="5" s="1"/>
  <c r="B92" i="5" s="1"/>
  <c r="A93" i="5" s="1"/>
  <c r="B9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<sst xmlns="http://schemas.openxmlformats.org/spreadsheetml/2006/main" count="2294" uniqueCount="675">
  <si>
    <t>Линия</t>
  </si>
  <si>
    <t>Всего человек</t>
  </si>
  <si>
    <t>Специальность</t>
  </si>
  <si>
    <t>Колво</t>
  </si>
  <si>
    <t>1 смена</t>
  </si>
  <si>
    <t>Компетенция</t>
  </si>
  <si>
    <t>Статус</t>
  </si>
  <si>
    <t>2 смена</t>
  </si>
  <si>
    <t>Компетенция 2</t>
  </si>
  <si>
    <t>Статус 2</t>
  </si>
  <si>
    <t>3 смена</t>
  </si>
  <si>
    <t>Компетенция 3</t>
  </si>
  <si>
    <t>Статус 3</t>
  </si>
  <si>
    <t>4 смена</t>
  </si>
  <si>
    <t xml:space="preserve">Компетенция 4 </t>
  </si>
  <si>
    <t>Статус 4</t>
  </si>
  <si>
    <t>Линия 1–2</t>
  </si>
  <si>
    <t>Линия  3</t>
  </si>
  <si>
    <t>Оператор - наладчик</t>
  </si>
  <si>
    <t>Никитин Н. А.</t>
  </si>
  <si>
    <t>Оператор упаковщик, Оператор этикетки</t>
  </si>
  <si>
    <t xml:space="preserve">Костылев К. </t>
  </si>
  <si>
    <t>Кузнецов В. Ю.</t>
  </si>
  <si>
    <t>Юров Р. А.</t>
  </si>
  <si>
    <t>Линия 3</t>
  </si>
  <si>
    <t>Оператор Депаллетайзера</t>
  </si>
  <si>
    <t>Петелина О. С.</t>
  </si>
  <si>
    <t xml:space="preserve">Мурлыкина Н. В. </t>
  </si>
  <si>
    <t>Колянникова А. А.</t>
  </si>
  <si>
    <t>Васин Д.</t>
  </si>
  <si>
    <t>Линия 4</t>
  </si>
  <si>
    <t>Оператор упаковщик</t>
  </si>
  <si>
    <t>Костиков А.</t>
  </si>
  <si>
    <t xml:space="preserve">Докукин И. Н. </t>
  </si>
  <si>
    <t>Коробкин К. И.</t>
  </si>
  <si>
    <t>Рахимзода А.</t>
  </si>
  <si>
    <t>Линия 5</t>
  </si>
  <si>
    <t>Оператор этикетки</t>
  </si>
  <si>
    <t>Селуянова С. А.</t>
  </si>
  <si>
    <t xml:space="preserve">Ананьева Л. В. </t>
  </si>
  <si>
    <t>Митичкина Г. А.</t>
  </si>
  <si>
    <t>Чумичёва О. С.</t>
  </si>
  <si>
    <t>Линия 6</t>
  </si>
  <si>
    <t>Подсобник</t>
  </si>
  <si>
    <t>Иванов С.,Набиева Э.</t>
  </si>
  <si>
    <t xml:space="preserve">Нуриддинова Н. </t>
  </si>
  <si>
    <t>Бурмистрова Е.</t>
  </si>
  <si>
    <t>Линия 7</t>
  </si>
  <si>
    <t>Линия 10</t>
  </si>
  <si>
    <t xml:space="preserve">Бекташева Х. </t>
  </si>
  <si>
    <t>Борча С. А.</t>
  </si>
  <si>
    <t>Шахов Н. С.</t>
  </si>
  <si>
    <t>Линия 8</t>
  </si>
  <si>
    <t>Мурлыкина Р. С.</t>
  </si>
  <si>
    <t>Фандеева Т. В.</t>
  </si>
  <si>
    <t>Линия 9</t>
  </si>
  <si>
    <t>Подсобник  лотки</t>
  </si>
  <si>
    <t>Камакина Т. Л.</t>
  </si>
  <si>
    <t xml:space="preserve">Замосковная А. Н. </t>
  </si>
  <si>
    <t>Пенькова К.</t>
  </si>
  <si>
    <t>Линия 11</t>
  </si>
  <si>
    <t>Булавинцева А.</t>
  </si>
  <si>
    <t>Соусы</t>
  </si>
  <si>
    <t>Итого</t>
  </si>
  <si>
    <t>Оператор Паллетайзера</t>
  </si>
  <si>
    <t>Линия 1-2</t>
  </si>
  <si>
    <t>Ревякин А. М.</t>
  </si>
  <si>
    <t xml:space="preserve">Борняков С. В. </t>
  </si>
  <si>
    <t>Масалов С. И.</t>
  </si>
  <si>
    <t>Гордеева О. А.</t>
  </si>
  <si>
    <t>Набиева Р.</t>
  </si>
  <si>
    <t xml:space="preserve">Козлова М. Н. </t>
  </si>
  <si>
    <t>Маркина Е. Н.</t>
  </si>
  <si>
    <t>Мирза Е. А.</t>
  </si>
  <si>
    <t>Саврук М. Ю.</t>
  </si>
  <si>
    <t xml:space="preserve">Меркулова А. В. </t>
  </si>
  <si>
    <t>Молокова С. И.</t>
  </si>
  <si>
    <t>Миронова Е.</t>
  </si>
  <si>
    <t>Смирнова Н. В.</t>
  </si>
  <si>
    <t xml:space="preserve">Шаруева </t>
  </si>
  <si>
    <t>Ковальчук В. Г.,Возняк С. М.</t>
  </si>
  <si>
    <t>Беликова Г.</t>
  </si>
  <si>
    <t>Чекулаев Д. М.</t>
  </si>
  <si>
    <t xml:space="preserve">Костылев А. </t>
  </si>
  <si>
    <t>Фетисов Д. С.</t>
  </si>
  <si>
    <t xml:space="preserve">Курбатова Е. А. </t>
  </si>
  <si>
    <t>Лисицкая Т. Ф.</t>
  </si>
  <si>
    <t>Абрамова Е. Н.</t>
  </si>
  <si>
    <t xml:space="preserve">Горбунова Е. В. </t>
  </si>
  <si>
    <t>Косарева В. В.</t>
  </si>
  <si>
    <t>Киреева А.</t>
  </si>
  <si>
    <t xml:space="preserve">Нуриддинова М. </t>
  </si>
  <si>
    <t>Савоськин Р. А.</t>
  </si>
  <si>
    <t>Волкова С. Р.</t>
  </si>
  <si>
    <t xml:space="preserve">Кучерова </t>
  </si>
  <si>
    <t>Федоров М. С.</t>
  </si>
  <si>
    <t>Карпухина Ю.</t>
  </si>
  <si>
    <t>Лисицкая Е. В.</t>
  </si>
  <si>
    <t>Подсобник - обмотчик</t>
  </si>
  <si>
    <t xml:space="preserve">Саргсян М. </t>
  </si>
  <si>
    <t>Филимонова О. Г.</t>
  </si>
  <si>
    <t>Никишова Н.</t>
  </si>
  <si>
    <t>Сергеев А. А.</t>
  </si>
  <si>
    <t xml:space="preserve">Аванесян А. Б. </t>
  </si>
  <si>
    <t>Беликов И. Д.</t>
  </si>
  <si>
    <t>Сидиков Н.</t>
  </si>
  <si>
    <t>Сергеева М. Ю.</t>
  </si>
  <si>
    <t xml:space="preserve">Савушкина Е. </t>
  </si>
  <si>
    <t>Конова В. С.</t>
  </si>
  <si>
    <t>Кулябина Н. А.</t>
  </si>
  <si>
    <t>Лянге Д. В.</t>
  </si>
  <si>
    <t>Абдулаева Ш.Х</t>
  </si>
  <si>
    <t>Порогин И. Ю.</t>
  </si>
  <si>
    <t>Налеткин С.С.</t>
  </si>
  <si>
    <t>Данелян А. Ф.</t>
  </si>
  <si>
    <t xml:space="preserve">Королькевич </t>
  </si>
  <si>
    <t>Суховая В.</t>
  </si>
  <si>
    <t>Никифорова Н. Н.</t>
  </si>
  <si>
    <t>Подсобник день</t>
  </si>
  <si>
    <t>Жумабоев И., Халилова Д., Назарова М., Назаров Б., Тилепов С., Мухаммадиев С., Аллабергенов О., Худайберганова М., Юлдашева Н.</t>
  </si>
  <si>
    <t>Подсобник ночь</t>
  </si>
  <si>
    <t>Кенжебаев Ж., Танирбергенов Д., Нурумбетова Д., Анналыева М., Торебаев Н.</t>
  </si>
  <si>
    <t>Линия 12</t>
  </si>
  <si>
    <t>Ингредиентщица</t>
  </si>
  <si>
    <t>-</t>
  </si>
  <si>
    <t>Хандак Ю.А.</t>
  </si>
  <si>
    <t>Каверина Л.</t>
  </si>
  <si>
    <t>Оператор асептической установки</t>
  </si>
  <si>
    <t>Балашов Т., Дорошин А.</t>
  </si>
  <si>
    <t>Семенов Э.</t>
  </si>
  <si>
    <t>Годжаев Х.П., Малюгин А.</t>
  </si>
  <si>
    <t>Новиков А.Р.</t>
  </si>
  <si>
    <t>Оператор купажного отделения</t>
  </si>
  <si>
    <t>Дзортов С., Дунаев А.В., Коренев М.</t>
  </si>
  <si>
    <t>Одинаев З.</t>
  </si>
  <si>
    <t>Корнеев Д.А., Холин Ю., Чукин Н., Патенко М.М.</t>
  </si>
  <si>
    <t>Алланиязов М., Худайбергенов О., Лупаков В.М., Фирсанов А.</t>
  </si>
  <si>
    <t>Оператор пастеризационной установки</t>
  </si>
  <si>
    <t>Павлов И.</t>
  </si>
  <si>
    <t>Технолог</t>
  </si>
  <si>
    <t>Леонова Е., Устинова Е.П.</t>
  </si>
  <si>
    <t>Лебедева Е.В., Малыгина А.В.</t>
  </si>
  <si>
    <t>Маркина Н., Макашова Е.С.</t>
  </si>
  <si>
    <t>Андриянов И.С., Тосунян И.Н.</t>
  </si>
  <si>
    <t>Линия розлива №1</t>
  </si>
  <si>
    <t>Дата начала</t>
  </si>
  <si>
    <t>Дата конца</t>
  </si>
  <si>
    <t>Длительность</t>
  </si>
  <si>
    <t>Скорость</t>
  </si>
  <si>
    <t>Наименование</t>
  </si>
  <si>
    <t>Количество</t>
  </si>
  <si>
    <t>Шт. в поддоне</t>
  </si>
  <si>
    <t>Кол-во поддоном</t>
  </si>
  <si>
    <t>CIP 2</t>
  </si>
  <si>
    <t>Сок Яблоко 1,8 л ТМ «Полезный Сок»</t>
  </si>
  <si>
    <t>Сок Морковь 1,8 л ТМ «Полезный Сок»</t>
  </si>
  <si>
    <t>Сок Тыква 1,8 л ТМ «Полезный Сок»</t>
  </si>
  <si>
    <t>Сок Томат 1,8 л ТМ «Полезный Сок»</t>
  </si>
  <si>
    <t>CIP 3</t>
  </si>
  <si>
    <t>Переход на линию 2</t>
  </si>
  <si>
    <t>Линия розлива №2</t>
  </si>
  <si>
    <t>Сок Яблоко 0,25 л ТМ «100% Джус»</t>
  </si>
  <si>
    <t>Вытеснение</t>
  </si>
  <si>
    <t>Запуск</t>
  </si>
  <si>
    <t>Сок Гранат 0,25 л ТМ «100% Джус»</t>
  </si>
  <si>
    <t>Нектар Манго 0,25 л ТМ «100% Джус»</t>
  </si>
  <si>
    <t>Нектар Банан-Киви 0,25 л ТМ «100% Джус»</t>
  </si>
  <si>
    <t>Сок Груша 0,25 л ТМ «100% Джус»</t>
  </si>
  <si>
    <t>Нектар Гранат 0,25 л ТМ «Дети»</t>
  </si>
  <si>
    <t>2026 год</t>
  </si>
  <si>
    <t>Сок Апельсин 0,25 л ТМ «100% Джус»</t>
  </si>
  <si>
    <t>Нектар Персик 0,25 л ТМ «100% Джус»</t>
  </si>
  <si>
    <t>Нектар Мультифрукт 0,25 л ТМ «100% Джус»</t>
  </si>
  <si>
    <t>Нектар Вишня 0,25 л ТМ «100% Джус»</t>
  </si>
  <si>
    <t>Сок Томат 0,25 л ТМ «100% Джус»</t>
  </si>
  <si>
    <t>Нектар Манго-Маракуйя 0,25 л ТМ «100% Джус»</t>
  </si>
  <si>
    <t>Нектар Банан-Клубника 0,25 л ТМ «100% Джус»</t>
  </si>
  <si>
    <t>Переход на линию 1</t>
  </si>
  <si>
    <t>Линия розлива №3</t>
  </si>
  <si>
    <t>Нектар Тыква 0,75 л ТМ «Soko GRANDE»</t>
  </si>
  <si>
    <t>Смена ассортимента</t>
  </si>
  <si>
    <t>Нектар Тыква 0,75 л ТМ «Мамина Дача»</t>
  </si>
  <si>
    <t>Нектар Облепиха 0,75 л ТМ «Мамина Дача»</t>
  </si>
  <si>
    <t>Нектар Манго 0,75 л ТМ «Мамина Дача»</t>
  </si>
  <si>
    <t>Сок Томат 0,75 л ТМ «Мамина Дача»</t>
  </si>
  <si>
    <t>CIP 3 + Переналадка на прайм</t>
  </si>
  <si>
    <t>Нектар Морковь 1,0 л ТМ «Баринофф»</t>
  </si>
  <si>
    <t>Сок Томат 1,0 л ТМ «Баринофф»</t>
  </si>
  <si>
    <t>Нектар Манго 1,0 л ТМ «Баринофф»</t>
  </si>
  <si>
    <t>вытеснение</t>
  </si>
  <si>
    <t>Нектар Персик 1,0 л ТМ «Баринофф»</t>
  </si>
  <si>
    <t>Сок Апельсин 1,0 л ТМ «Баринофф»</t>
  </si>
  <si>
    <t>Нектар Мультифрукт 1,0 л ТМ «Баринофф»</t>
  </si>
  <si>
    <t>Сок Груша 1,0 л ТМ «Баринофф»</t>
  </si>
  <si>
    <t>Нектар Тыква 1,0 л ТМ «Баринофф»</t>
  </si>
  <si>
    <t>Сок Гранат 1,0 л ТМ «Баринофф»</t>
  </si>
  <si>
    <t>Сок Яблоко 1,0 л ТМ «Баринофф»</t>
  </si>
  <si>
    <t>CIP 1</t>
  </si>
  <si>
    <t>Нектар Вишня 1,0 л ТМ «Баринофф»</t>
  </si>
  <si>
    <t>CIP 2 + переналадка на Бриолу</t>
  </si>
  <si>
    <t>Нектар Тыква 1,0 л ТМ «Мистер Овощ»</t>
  </si>
  <si>
    <t>Нектар Тыква 1,0 л ТМ «Магнит»</t>
  </si>
  <si>
    <t>CIP 3 + Переналадка на 0,75</t>
  </si>
  <si>
    <t>Нектар Морковь 0,75 л ТМ «Мамина Дача»</t>
  </si>
  <si>
    <t>Нектар Морковь 0,75 л ТМ «Soko GRANDE»</t>
  </si>
  <si>
    <t>CIP 3 + Переналадка на Прайм</t>
  </si>
  <si>
    <t>CIP 3 + переналадка на Бриолу</t>
  </si>
  <si>
    <t>Напиток Гранат 1,0 л ТМ «Каждый День»</t>
  </si>
  <si>
    <t>Напиток Гранат 1,0 л ТМ «365 Дней»</t>
  </si>
  <si>
    <t>Нектар Гранат 1,0 л ТМ «Гранатовый Рай»</t>
  </si>
  <si>
    <t>Нектар Морковь 1,0 л ТМ «Для Всей Семьи»</t>
  </si>
  <si>
    <t>Нектар Морковь 1,0 л ТМ «Магнит»</t>
  </si>
  <si>
    <t>Нектар Тыква 1,0 л ТМ «Для Всей Семьи»</t>
  </si>
  <si>
    <t>CIP 3 + Переналадка на 1,0 л Бриола</t>
  </si>
  <si>
    <t>Нектар Морковь 0,75 л ТМ «Окей»</t>
  </si>
  <si>
    <t>Сок Яблоко 0,75 л ТМ «Мамина Дача»</t>
  </si>
  <si>
    <t>Напиток Гранат 1,0 л ТМ «Для Всей Семьи»</t>
  </si>
  <si>
    <t>CIP 3 + переналадка на 0,75</t>
  </si>
  <si>
    <t>Нектар Облепиха 0,75 л ТМ «Окей»</t>
  </si>
  <si>
    <t>Нектар Манго 1,0 л ТМ «JUICER»</t>
  </si>
  <si>
    <t>Переход на линию 4</t>
  </si>
  <si>
    <t>Линия розлива №4</t>
  </si>
  <si>
    <t>Нектар Тыква-Манго 0,33 ТМ «Вау Мяу»</t>
  </si>
  <si>
    <t>Нектар Морковь 0,33 ТМ «Spar Kids»</t>
  </si>
  <si>
    <t>Нектар Морковь 0,33 ТМ «Вау Мяу»</t>
  </si>
  <si>
    <t>Нектар Морковь 0,33 ТМ «Миша»</t>
  </si>
  <si>
    <t>Нектар Морковь-Яблоко-Банан 0,33 ТМ «Spar Kids»</t>
  </si>
  <si>
    <t>Нектар Морковь-Яблоко-Клубника 0,33 ТМ «Spar Kids»</t>
  </si>
  <si>
    <t>Нектар Морковь-Яблоко-Клубника 0,33 ТМ «Миша»</t>
  </si>
  <si>
    <t>Нектар Морковь-Яблоко-Малина 0,33 ТМ «Вау Мяу»</t>
  </si>
  <si>
    <t>Нектар Банан-Клубника 0,33 ТМ «Вау Мяу»</t>
  </si>
  <si>
    <t>Нектар Морковь 0,33 л ТМ «Вау Мяу»</t>
  </si>
  <si>
    <t>Нектар Морковь 0,33 л ТМ «Baby Island»</t>
  </si>
  <si>
    <t>Нектар Морковь 0,33 л ТМ «Ашан Kids»</t>
  </si>
  <si>
    <t>Нектар Морковь 0,33 л ТМ «Миша»</t>
  </si>
  <si>
    <t>CIP2</t>
  </si>
  <si>
    <t>Нектар Морковь-Яблоко-Банан 0,33 л ТМ «Вау Мяу»</t>
  </si>
  <si>
    <t>Нектар Морковь-Яблоко-Банан 0,33 л ТМ «Baby Island»</t>
  </si>
  <si>
    <t>Нектар Морковь-Яблоко-Банан 0,33 л ТМ «Миша»</t>
  </si>
  <si>
    <t>Нектар Морковь-Яблоко-Персик 0,33 л ТМ «Baby Island»</t>
  </si>
  <si>
    <t>Нектар Морковь-Яблоко-Персик 0,33 л ТМ «Миша»</t>
  </si>
  <si>
    <t>Нектар Морковь-Яблоко-Малина 0,33 л ТМ «Baby Island»</t>
  </si>
  <si>
    <t>Нектар Морковь-Яблоко-Малина 0,33 л ТМ «Вау Мяу»</t>
  </si>
  <si>
    <t>Нектар Тыква 0,33 л ТМ «Динозаврик ДИ»</t>
  </si>
  <si>
    <t>Нектар Тыква-Апельсин 0,33 л ТМ «Spar Kids»</t>
  </si>
  <si>
    <t>Нектар Тыква-Апельсин 0,33 л ТМ «Динозаврик ДИ»</t>
  </si>
  <si>
    <t>Нектар Шиповник 0,33 л</t>
  </si>
  <si>
    <t xml:space="preserve"> CIP 3 + Переналадка на 0,25</t>
  </si>
  <si>
    <t>Нектар Морковь 0,33 л ТМ «Spar Kids»</t>
  </si>
  <si>
    <t>Необходимо начать по наличию этикетки</t>
  </si>
  <si>
    <t>Нектар Морковь-Яблоко-Малина 0,33 л ТМ «Миша»</t>
  </si>
  <si>
    <t>Нектар Банан-Клубника 0,33 л ТМ «Вау Мяу»</t>
  </si>
  <si>
    <t>Нектар Тыква-Манго 0,33 л ТМ «Ашан Kids»</t>
  </si>
  <si>
    <t>Нектар Тыква-Манго 0,33 л ТМ «Вау Мяу»</t>
  </si>
  <si>
    <t>Нектар Шиповник-Гранат 0,33 л</t>
  </si>
  <si>
    <t>Нектар Шиповник-Клюква 0,33 л</t>
  </si>
  <si>
    <t>Переход на линию 3</t>
  </si>
  <si>
    <t>Переупаковка банан-клубника 0,25 ( нанесение чз на продукцию из блока)</t>
  </si>
  <si>
    <t>Нектар Морковь 0,33 л ТМ «Ашан»</t>
  </si>
  <si>
    <t>Нектар Тыква-Манго 0,33 л ТМ «Ашан»</t>
  </si>
  <si>
    <t>Нектар Тыква-Манго 0,33 л ТМ «Spar Kids»</t>
  </si>
  <si>
    <t>Линия розлива №5 Сиропы</t>
  </si>
  <si>
    <t>Сироп Тоффи 0,25 л ТМ «Баринофф»</t>
  </si>
  <si>
    <t>Сироп Фисташки 0,25 л ТМ «Баринофф»</t>
  </si>
  <si>
    <t>Сироп Ром 0,25 л ТМ «Баринофф»</t>
  </si>
  <si>
    <t>Сироп Шоколад 0,25 л ТМ «Баринофф»</t>
  </si>
  <si>
    <t>Сироп Брауни 0,25 л ТМ «Баринофф»</t>
  </si>
  <si>
    <t>Сироп Ваниль 0,25 л ТМ «Ашан»</t>
  </si>
  <si>
    <t>Сироп Айриш Крим 0,25 л ТМ «Ашан»</t>
  </si>
  <si>
    <t>Сироп Бабл Гам 0,25 л ТМ «Баринофф»</t>
  </si>
  <si>
    <t>Сироп Малина 0,25 л ТМ «Баринофф»</t>
  </si>
  <si>
    <t>Сироп Кокос 0,25 л ТМ «RIOBA»</t>
  </si>
  <si>
    <t>Сироп Соленая Карамель 0,25 л ТМ «RIOBA»</t>
  </si>
  <si>
    <t>Сироп Клубника 0,25 л ТМ «RIOBA»</t>
  </si>
  <si>
    <t>Сироп Голубой Кюрасао 0,25 л ТМ «Баринофф»</t>
  </si>
  <si>
    <t>CIP 2 + Переналадка на 1,0 л</t>
  </si>
  <si>
    <t>Сироп Голубой Кюрасао 1,0 л ТМ «Баринофф»</t>
  </si>
  <si>
    <t>Сироп Вишня 1,0 л ТМ «Баринофф»</t>
  </si>
  <si>
    <t>Сироп Гренадин 1,0 л ТМ «Баринофф»</t>
  </si>
  <si>
    <t>Сироп Лесные Ягоды 1,0 л ТМ «Баринофф»</t>
  </si>
  <si>
    <t>Сироп Мохито 1,0 л ТМ «Баринофф»</t>
  </si>
  <si>
    <t>Сироп Ананас 1,0 л ТМ «Баринофф»</t>
  </si>
  <si>
    <t>Сироп Апельсин 1,0 л ТМ «Баринофф»</t>
  </si>
  <si>
    <t>Сироп Манго 1,0 л ТМ «Баринофф»</t>
  </si>
  <si>
    <t>Сироп Соленая Карамель 1,0 л ТМ «Баринофф»</t>
  </si>
  <si>
    <t>Основа Лимон 1,0 л ТМ «Баринофф»</t>
  </si>
  <si>
    <t>Сироп Яблоко 1,0 л ТМ «Баринофф»</t>
  </si>
  <si>
    <t>Сироп Клюква 1,0 л ТМ «Баринофф»</t>
  </si>
  <si>
    <t>Сироп Белый Шоколад 1,0 л ТМ «Баринофф»</t>
  </si>
  <si>
    <t>Сироп Бабл Гам 1,0 л ТМ «Баринофф»</t>
  </si>
  <si>
    <t>Сироп Арбуз 1,0 л ТМ «Баринофф»</t>
  </si>
  <si>
    <t>Сироп Имбирный Пряник 1,0 л ТМ «Баринофф»</t>
  </si>
  <si>
    <t>Сироп Кленовый 1,0 л ТМ «Баринофф»</t>
  </si>
  <si>
    <t>Сироп Лесной Орех 1,0 л ТМ «Баринофф»</t>
  </si>
  <si>
    <t>Сироп Тоффи 1,0 л ТМ «Баринофф»</t>
  </si>
  <si>
    <t>Сироп Кокос 1,0 л ТМ «Баринофф»</t>
  </si>
  <si>
    <t>Сироп Маракуйя 1,0 л ТМ «Баринофф»</t>
  </si>
  <si>
    <t>Сироп Клубника 1,0 л ТМ «Баринофф»</t>
  </si>
  <si>
    <t>Сироп Киви 1,0 л ТМ «Баринофф»</t>
  </si>
  <si>
    <t>Сироп Дыня 1,0 л ТМ «Баринофф»</t>
  </si>
  <si>
    <t>Сироп Тархун 1,0 л ТМ «Баринофф»</t>
  </si>
  <si>
    <t>Сироп Ежевика 1,0 л ТМ «Баринофф»</t>
  </si>
  <si>
    <t>Сироп Карамель 1,0 л ТМ «Баринофф»</t>
  </si>
  <si>
    <t>Сироп Айриш Крим 1,0 л ТМ «Баринофф»</t>
  </si>
  <si>
    <t>Сироп Изабелла 1,0 л ТМ «Баринофф»</t>
  </si>
  <si>
    <t>Сироп Попкорн 1,0 л ТМ «Баринофф»</t>
  </si>
  <si>
    <t>Сироп Розовый Грейпфрут 1,0 л ТМ «Баринофф»</t>
  </si>
  <si>
    <t>Сироп Роза 1,0 л ТМ «Баринофф»</t>
  </si>
  <si>
    <t>Сироп Персик 1,0 л ТМ «Баринофф»</t>
  </si>
  <si>
    <t>Сироп Миндаль 1,0 л ТМ «Баринофф»</t>
  </si>
  <si>
    <t>Сироп Пина Колада 1,0 л ТМ «Баринофф»</t>
  </si>
  <si>
    <t>Сироп Красный Апельсин 1,0 л ТМ «Баринофф»</t>
  </si>
  <si>
    <t>Сироп Соленая Макадамия 1,0 л ТМ «Баринофф»</t>
  </si>
  <si>
    <t>Сироп Тирамису 1,0 л ТМ «Баринофф»</t>
  </si>
  <si>
    <t>Сироп Шоколад 1,0 л ТМ «Баринофф»</t>
  </si>
  <si>
    <t>Сироп Кола 1,0 л ТМ «Баринофф»</t>
  </si>
  <si>
    <t>Сироп Шоколадное Печенье 1,0 л ТМ «Баринофф»</t>
  </si>
  <si>
    <t>Сироп Шоколадный Батончик 1,0 л ТМ «Баринофф»</t>
  </si>
  <si>
    <t>Сироп Малина 1,0 л ТМ «Баринофф»</t>
  </si>
  <si>
    <t>Сироп Облепиха 1,0 л ТМ «Баринофф»</t>
  </si>
  <si>
    <t>Сироп Мята 1,0 л ТМ «Баринофф»</t>
  </si>
  <si>
    <t>Сироп Голубой Кюрасао 1,0 л ТМ «Ашан»</t>
  </si>
  <si>
    <t>Сироп Соленая Карамель 1,0 л ТМ «Ашан»</t>
  </si>
  <si>
    <t>Сироп Клубника 1,0 л ТМ «Ашан»</t>
  </si>
  <si>
    <t>Сироп Гренадин 1,0 л ТМ «Ашан»</t>
  </si>
  <si>
    <t>Сироп Черная Смородина 1,0 л ТМ «RIOBA»</t>
  </si>
  <si>
    <t>Сироп Мята 1,0 л ТМ «RIOBA»</t>
  </si>
  <si>
    <t>Сироп Сахарный Тростник 1,0 л ТМ «RIOBA»</t>
  </si>
  <si>
    <t>Сироп Ваниль 1,0 л ТМ «RIOBA»</t>
  </si>
  <si>
    <t>Сироп Тоффи 1,0 л ТМ «RIOBA»</t>
  </si>
  <si>
    <t>Сироп Кокос 1,0 л ТМ «RIOBA»</t>
  </si>
  <si>
    <t>Сироп Миндаль 1,0 л ТМ «RIOBA»</t>
  </si>
  <si>
    <t>Сироп Бейлиз 1,0 л ТМ «RIOBA»</t>
  </si>
  <si>
    <t>Сироп Манго 1,0 л ТМ «RIOBA»</t>
  </si>
  <si>
    <t>Сироп Гренадин 1,0 л ТМ «RIOBA»</t>
  </si>
  <si>
    <t>Сироп Клубника 1,0 л ТМ «RIOBA»</t>
  </si>
  <si>
    <t>Сироп Вишня 1,0 л ТМ «RIOBA»</t>
  </si>
  <si>
    <t>Сироп Малина 1,0 л ТМ «RIOBA»</t>
  </si>
  <si>
    <t>Сироп Карамель 1,0 л ТМ «RIOBA»</t>
  </si>
  <si>
    <t>Сироп Соленая Карамель 1,0 л ТМ «RIOBA»</t>
  </si>
  <si>
    <t>Сироп Кленовый 1,0 л ТМ «RIOBA»</t>
  </si>
  <si>
    <t>Сироп Лесной Орех 1,0 л ТМ «RIOBA»</t>
  </si>
  <si>
    <t>Сироп Амаретто 1,0 л ТМ «RIOBA»</t>
  </si>
  <si>
    <t>Сироп Шоколад 1,0 л ТМ «RIOBA»</t>
  </si>
  <si>
    <t>Сироп Дыня 1,0 л ТМ «RIOBA»</t>
  </si>
  <si>
    <t>40 мин ополаскивание горчей водой! ВАЖНО!</t>
  </si>
  <si>
    <t>Сироп Лаванда 1,0 л ТМ «RIOBA»</t>
  </si>
  <si>
    <t>Сироп Земляника 1,0 л ТМ «Баринофф»</t>
  </si>
  <si>
    <t>Сироп Мохито 1,0 л ТМ «RIOBA»</t>
  </si>
  <si>
    <t>Сироп Маракуйя 1,0 л ТМ «RIOBA»</t>
  </si>
  <si>
    <t>Сироп Мохито 1,0 л ТМ «Ашан»</t>
  </si>
  <si>
    <t>Сироп Лимон 1,0 л ТМ «Баринофф»</t>
  </si>
  <si>
    <t>Сироп Лайм 1,0 л ТМ «Баринофф»</t>
  </si>
  <si>
    <t>Сироп Ваниль 1,0 л ТМ «Баринофф»</t>
  </si>
  <si>
    <t>Линия розлива №6 B in B</t>
  </si>
  <si>
    <t>Морс Клюква 3,0 л ТМ «RIOBA»</t>
  </si>
  <si>
    <t>Морс Ягодный Сбор 3,0 л ТМ «RIOBA»</t>
  </si>
  <si>
    <t>Напиток Яблоко 3,0 л ТМ «Баринофф»</t>
  </si>
  <si>
    <t>Напиток Груша 3,0 л ТМ «Баринофф»</t>
  </si>
  <si>
    <t>Напиток Виноград Белый 3,0 л ТМ «Баринофф»</t>
  </si>
  <si>
    <t>Напиток Виноград Красный 3,0 л ТМ «Баринофф»</t>
  </si>
  <si>
    <t>Напиток Вишня 3,0 л ТМ «Баринофф»</t>
  </si>
  <si>
    <t>Напиток Апельсин 3,0 л ТМ «Баринофф»</t>
  </si>
  <si>
    <t>Напиток Манго 3,0 л ТМ «Баринофф»</t>
  </si>
  <si>
    <t>Напиток Персик 3,0 л ТМ «Баринофф»</t>
  </si>
  <si>
    <t>Напиток Мультифрукт 3,0 л ТМ «Баринофф»</t>
  </si>
  <si>
    <t>Морс Ягодный Сбор 3,0 л ТМ "Русский Морс"</t>
  </si>
  <si>
    <t>Морс Клюква 3,0 л ТМ «Русский Морс»</t>
  </si>
  <si>
    <t>Морс Ягодный Сбор 3,0 л ТМ «Русский Морс»</t>
  </si>
  <si>
    <t>Линия розлива №7 топпинги</t>
  </si>
  <si>
    <t>Топпинг Карамель 1,0 кг ТМ «Баринофф»</t>
  </si>
  <si>
    <t>Топпинг Молочный Шоколад 1,0 кг ТМ «Баринофф»</t>
  </si>
  <si>
    <t>Основа Глинтвейн 1,0 кг ТМ «Баринофф»</t>
  </si>
  <si>
    <t>Переход на линию 10</t>
  </si>
  <si>
    <t>Топпинг Ваниль 1,0 кг ТМ «Баринофф»</t>
  </si>
  <si>
    <t>Топпинг Белый Шоколад 1,0 кг ТМ «Баринофф»</t>
  </si>
  <si>
    <t>Топпинг Шоколад 1,0 кг ТМ «Баринофф»</t>
  </si>
  <si>
    <t>Топпинг Лесные Ягоды 1,0 кг ТМ «Баринофф»</t>
  </si>
  <si>
    <t>Линия розлива №9 пюре</t>
  </si>
  <si>
    <t>Пюре морковное</t>
  </si>
  <si>
    <t>Мойка</t>
  </si>
  <si>
    <t>Переход на линию ПЭТ</t>
  </si>
  <si>
    <t>Линия розлива №8 соусы</t>
  </si>
  <si>
    <t>соус ДоДо 10,0 кг</t>
  </si>
  <si>
    <t>мойка</t>
  </si>
  <si>
    <t>Пицца соус Базовый 10 кг</t>
  </si>
  <si>
    <t>Пицца соус Базовый 3 кг</t>
  </si>
  <si>
    <t>Пицца соус Базовый 5 кг</t>
  </si>
  <si>
    <t>Пицца соус Бариноф 5 кг</t>
  </si>
  <si>
    <t>Пицца соус Бариноф 3 кг</t>
  </si>
  <si>
    <t>Пицца соус Бариноф 10 кг</t>
  </si>
  <si>
    <t>Пицца соус Классик 10 кг</t>
  </si>
  <si>
    <t>Пицца соус Классик 3 кг</t>
  </si>
  <si>
    <t>Пицца соус Классик 5 кг</t>
  </si>
  <si>
    <t>Пицца соус Традиционный 5 кг</t>
  </si>
  <si>
    <t>Пицца соус Традиционный 3кг</t>
  </si>
  <si>
    <t>Пицца соус Традиционный 10 кг</t>
  </si>
  <si>
    <t>Линия розлива №10 ПЭТ</t>
  </si>
  <si>
    <t>Дата окончания</t>
  </si>
  <si>
    <t>Кол-во</t>
  </si>
  <si>
    <t>Сироп Ваниль 1,0 л ПЭТ ТМ «STARS COFFEE»</t>
  </si>
  <si>
    <t>Сироп Лесной Орех 1,0 л ПЭТ ТМ «STARS COFFEE»</t>
  </si>
  <si>
    <t>Сироп Миндаль 1,0 л ПЭТ ТМ «STARS COFFEE»</t>
  </si>
  <si>
    <t>Сироп Соленая Карамель 1,0 л ПЭТ ТМ «STARS COFFEE»</t>
  </si>
  <si>
    <t>Сироп Гренадин 1,0 л ПЭТ ТМ «Баринофф» (Часть 1)</t>
  </si>
  <si>
    <t>Сироп Гренадин 1,0 л ПЭТ ТМ «Баринофф» (Часть 2)</t>
  </si>
  <si>
    <t>Сироп Лесные Ягоды 1,0 л ПЭТ ТМ «Баринофф» (Часть 1)</t>
  </si>
  <si>
    <t>Сироп Лесные Ягоды 1,0 л ПЭТ ТМ «Баринофф» (Часть 2)</t>
  </si>
  <si>
    <t>Сироп Черная Смородина 1,0 л ПЭТ ТМ «Баринофф» (Часть 1)</t>
  </si>
  <si>
    <t>Сироп Черная Смородина 1,0 л ПЭТ ТМ «Баринофф» (Часть 2)</t>
  </si>
  <si>
    <t>Сироп Ваниль 1,0 л ПЭТ ТМ «Баринофф» (Часть 1)</t>
  </si>
  <si>
    <t>Сироп Ваниль 1,0 л ПЭТ ТМ «Баринофф» (Часть 2)</t>
  </si>
  <si>
    <t>Сироп Мохито 1,0 л ПЭТ ТМ «Баринофф» (Часть 1)</t>
  </si>
  <si>
    <t>Сироп Мохито 1,0 л ПЭТ ТМ «Баринофф» (Часть 2)</t>
  </si>
  <si>
    <t>Сироп Бейлиз 1,0 л ПЭТ ТМ «Баринофф»</t>
  </si>
  <si>
    <t>Сироп Голубой Кюрасао 1,0 л ПЭТ ТМ «Баринофф»</t>
  </si>
  <si>
    <t>Сироп Карамель 1,0 л ПЭТ ТМ «Баринофф»</t>
  </si>
  <si>
    <t>Сироп Соленая Карамель 1,0 л ПЭТ  ТМ «Баринофф» (Часть 1)</t>
  </si>
  <si>
    <t>Сироп Соленая Карамель 1,0 л ПЭТ  ТМ «Баринофф» (Часть 2)</t>
  </si>
  <si>
    <t>Сироп Соленая Карамель 1,0 л ПЭТ  ТМ «Баринофф» (Часть 3)</t>
  </si>
  <si>
    <t>Сироп Лесной Орех 1,0 л ПЭТ ТМ «Баринофф»</t>
  </si>
  <si>
    <t>Сироп Фисташки 1,0 л ПЭТ ТМ «Баринофф»</t>
  </si>
  <si>
    <t>Сироп Мята 1,0 л ПЭТ ТМ «Баринофф»</t>
  </si>
  <si>
    <t>Сироп Вишня 1,0 л ПЭТ ТМ «Баринофф» (Часть 1)</t>
  </si>
  <si>
    <t>Сироп Вишня 1,0 л ПЭТ ТМ «Баринофф» (Часть 2)</t>
  </si>
  <si>
    <t>Сироп Лайм 1,0 л ПЭТ ТМ «Баринофф»</t>
  </si>
  <si>
    <t>Сироп Клубника 1,0 л ПЭТ ТМ «Баринофф»</t>
  </si>
  <si>
    <t>Под остаток этикетки</t>
  </si>
  <si>
    <t xml:space="preserve">Сироп Гренадин 1,0 л ПЭТ ТМ «Баринофф» </t>
  </si>
  <si>
    <t>Сироп Черная Смородина 1,0 л ПЭТ ТМ «Баринофф»</t>
  </si>
  <si>
    <t>Сироп Соленая Карамель 1,0 л ПЭТ ТМ «Баринофф»</t>
  </si>
  <si>
    <t>Сироп Вишня 1,0 л ПЭТ ТМ «Баринофф»</t>
  </si>
  <si>
    <t>Сироп Мохито 1,0 л ПЭТ ТМ «Баринофф»</t>
  </si>
  <si>
    <t>Сироп Ваниль 1,0 л ПЭТ ТМ «Баринофф»</t>
  </si>
  <si>
    <t>новая схема укладки</t>
  </si>
  <si>
    <t>Сироп Бабл Гам 1,0 л ПЭТ ТМ Баринофф</t>
  </si>
  <si>
    <t>Сироп Красный Апельсин 1,0 л ПЭТ ТМ Баринофф</t>
  </si>
  <si>
    <t>Сироп Пина Колада 1,0 л ПЭТ ТМ Баринофф</t>
  </si>
  <si>
    <t>Сироп Кленовый 1,0 л ПЭТ ТМ Баринофф</t>
  </si>
  <si>
    <t>Сироп Шоколадное Печенье 1,0 л ПЭТ ТМ Баринофф</t>
  </si>
  <si>
    <t>Сироп Белый Шоколад 1,0 л ПЭТ ТМ Баринофф</t>
  </si>
  <si>
    <t>Сироп Персик 1,0 л ПЭТ ТМ Баринофф</t>
  </si>
  <si>
    <t>Сироп Груша 1,0 л ПЭТ ТМ Баринофф</t>
  </si>
  <si>
    <t>Сироп Попкорн 1,0 л ПЭТ ТМ Баринофф</t>
  </si>
  <si>
    <t>Сироп Ананас 1,0 л ПЭТ ТМ Баринофф</t>
  </si>
  <si>
    <t>Сироп Земляника 1,0 л ПЭТ ТМ Баринофф</t>
  </si>
  <si>
    <t>Сироп Ежевика 1,0 л ПЭТ ТМ Баринофф</t>
  </si>
  <si>
    <t>Сироп Макадамия 1,0 л ПЭТ ТМ Баринофф</t>
  </si>
  <si>
    <t>Сироп Корица 1,0 л ПЭТ ТМ Баринофф</t>
  </si>
  <si>
    <t>Сироп Шоколадный Батончик 1,0 л ПЭТ ТМ Баринофф</t>
  </si>
  <si>
    <t>Сироп Кола 1,0 л ПЭТ ТМ Баринофф</t>
  </si>
  <si>
    <t>Сироп Имбирный Пряник 1,0 л ПЭТ ТМ Баринофф</t>
  </si>
  <si>
    <t>Сироп Жаренная Карамель 1,0 л ПЭТ ТМ Баринофф</t>
  </si>
  <si>
    <t>Сироп Жаренный Фундук 1,0 л ПЭТ ТМ Баринофф</t>
  </si>
  <si>
    <t>Сироп Тирамису 1,0 л ПЭТ ТМ Баринофф</t>
  </si>
  <si>
    <t>Сироп Яблоко 1,0 л ПЭТ ТМ Баринофф</t>
  </si>
  <si>
    <t>Сироп Лаванда 1,0 л ПЭТ ТМ Баринофф</t>
  </si>
  <si>
    <t>Сироп Ваниль 1,0 л ПЭТ ТМ Баринофф</t>
  </si>
  <si>
    <t>Сироп Кокос 1,0 л ПЭТ ТМ Баринофф</t>
  </si>
  <si>
    <t>Сироп Бейлиз 1,0 л ПЭТ ТМ Баринофф</t>
  </si>
  <si>
    <t>Сироп Миндаль 1,0 л ПЭТ ТМ Баринофф</t>
  </si>
  <si>
    <t>Сироп Карамель 1,0 л ПЭТ ТМ Баринофф</t>
  </si>
  <si>
    <t>Сироп Лесной Орех 1,0 л ПЭТ ТМ Баринофф</t>
  </si>
  <si>
    <t>Сироп Тоффи 1,0 л ПЭТ ТМ Баринофф</t>
  </si>
  <si>
    <t>Сироп Айриш Крим 1,0 л ПЭТ ТМ Баринофф</t>
  </si>
  <si>
    <t>Сироп Амаретто 1,0 л ПЭТ ТМ Баринофф</t>
  </si>
  <si>
    <t>Сироп Клубника 1,0 л ПЭТ ТМ Баринофф</t>
  </si>
  <si>
    <t>Сироп Голубой Кюрасао 1,0 л ПЭТ ТМ Баринофф</t>
  </si>
  <si>
    <t>Сироп Малина 1,0 л ПЭТ ТМ Баринофф</t>
  </si>
  <si>
    <t>Сироп Вишня 1,0 л ПЭТ ТМ Баринофф</t>
  </si>
  <si>
    <t>Сироп Тархун 1,0 л ПЭТ ТМ Баринофф</t>
  </si>
  <si>
    <t>Сироп Мята 1,0 л ПЭТ ТМ Баринофф</t>
  </si>
  <si>
    <t>Сироп Гренадин 1,0 л ПЭТ ТМ Баринофф</t>
  </si>
  <si>
    <t>Сироп Соленая Карамель 1,0 л ПЭТ ТМ Баринофф</t>
  </si>
  <si>
    <t>Сироп Шоколад 1,0 л ПЭТ ТМ Баринофф</t>
  </si>
  <si>
    <t>Сироп Топинамбур 1,0 л ПЭТ ТМ Баринофф</t>
  </si>
  <si>
    <t>Сироп Фисташки 1,0 л ПЭТ ТМ Баринофф</t>
  </si>
  <si>
    <t>Сироп Дыня 1,0 л ПЭТ ТМ Баринофф</t>
  </si>
  <si>
    <t>Сироп Мохито 1,0 л ПЭТ ТМ Баринофф</t>
  </si>
  <si>
    <t>Сироп Арбуз 1,0 л ПЭТ ТМ Баринофф</t>
  </si>
  <si>
    <t>Сироп Желтый Банан 1,0 л ПЭТ ТМ Баринофф</t>
  </si>
  <si>
    <t>Сироп Жареная Карамель 1,0 л ПЭТ ТМ Баринофф</t>
  </si>
  <si>
    <t>Сироп Жареный Фундук 1,0 л ПЭТ ТМ Баринофф</t>
  </si>
  <si>
    <t>Сироп Соленая Карамель 1,0 л ПЭТ ТМ «Кафе Пятерочка» NEW</t>
  </si>
  <si>
    <t>Сироп Макадамия 1,0 л ПЭТ ТМ «Кафе Пятерочка» NEW</t>
  </si>
  <si>
    <t>Линия розлива №11</t>
  </si>
  <si>
    <t>Энергетический напиток Гранат</t>
  </si>
  <si>
    <t>Напиток тонизирующий Аллигатор Ориджинал</t>
  </si>
  <si>
    <t>Энергетический напиток Гуава-Лайм-Мята</t>
  </si>
  <si>
    <t>Энергетический напиток Манго-Кокос</t>
  </si>
  <si>
    <t>Тоник Индиан</t>
  </si>
  <si>
    <t>Тоник Биттер Лемон</t>
  </si>
  <si>
    <t>Лимонад Мармеладные Мишки</t>
  </si>
  <si>
    <t>Лимонад Тутти-Фрутти</t>
  </si>
  <si>
    <t>Лимонад Сладкая Вата</t>
  </si>
  <si>
    <t>Лимонад Дыня Хоккайдо</t>
  </si>
  <si>
    <t>Напиток с витаминами Малина-Маракуйя</t>
  </si>
  <si>
    <t>Напиток с витаминами Клюква-Бабл Гам</t>
  </si>
  <si>
    <t>Линия розлива №12 КС</t>
  </si>
  <si>
    <t>Концентрат Виноград Белый 6,0 кг ТМ «Баринофф»</t>
  </si>
  <si>
    <t>Основа Клюква 6,0 кг ТМ «Баринофф»</t>
  </si>
  <si>
    <t>Основа Лесные Ягоды 6,0 кг ТМ «Баринофф»</t>
  </si>
  <si>
    <t>Основа Черная Смородина 6,0 кг ТМ «Баринофф»</t>
  </si>
  <si>
    <t>Основа Брусника 6,0 кг ТМ «Баринофф»</t>
  </si>
  <si>
    <t>До-До</t>
  </si>
  <si>
    <t>Название продукта</t>
  </si>
  <si>
    <t>Переборка ДОДО</t>
  </si>
  <si>
    <t>Дата</t>
  </si>
  <si>
    <t>День недели</t>
  </si>
  <si>
    <t>Смена</t>
  </si>
  <si>
    <t>Бригада</t>
  </si>
  <si>
    <t>Время работы</t>
  </si>
  <si>
    <t>Кол-во (План)</t>
  </si>
  <si>
    <t>Людей</t>
  </si>
  <si>
    <t>Линия1</t>
  </si>
  <si>
    <t>Линия2</t>
  </si>
  <si>
    <t>Линия3</t>
  </si>
  <si>
    <t>Линия4</t>
  </si>
  <si>
    <t>Линия5</t>
  </si>
  <si>
    <t>Линия6</t>
  </si>
  <si>
    <t>Линия7</t>
  </si>
  <si>
    <t>Линия9</t>
  </si>
  <si>
    <t>Линия8</t>
  </si>
  <si>
    <t>Линия10</t>
  </si>
  <si>
    <t>Линия11</t>
  </si>
  <si>
    <t>Всего людей</t>
  </si>
  <si>
    <t>Суббота</t>
  </si>
  <si>
    <t>День</t>
  </si>
  <si>
    <t>Смена 2</t>
  </si>
  <si>
    <t>18:16 - 20:00</t>
  </si>
  <si>
    <t>Среда</t>
  </si>
  <si>
    <t>Смена 4</t>
  </si>
  <si>
    <t>Ночь</t>
  </si>
  <si>
    <t>Смена 1</t>
  </si>
  <si>
    <t>20:00 - 20:46</t>
  </si>
  <si>
    <t>Смена 3</t>
  </si>
  <si>
    <t>20:46 - 08:00</t>
  </si>
  <si>
    <t>Четверг</t>
  </si>
  <si>
    <t>Воскресенье</t>
  </si>
  <si>
    <t>08:00 - 15:13</t>
  </si>
  <si>
    <t>15:13 - 17:43</t>
  </si>
  <si>
    <t>Пятница</t>
  </si>
  <si>
    <t>17:43 - 20:00</t>
  </si>
  <si>
    <t>20:00 - 08:00</t>
  </si>
  <si>
    <t>Понедельник</t>
  </si>
  <si>
    <t>08:00 - 20:00</t>
  </si>
  <si>
    <t>20:00 - 00:29</t>
  </si>
  <si>
    <t>00:29 - 00:59</t>
  </si>
  <si>
    <t>00:59 - 08:00</t>
  </si>
  <si>
    <t>Вторник</t>
  </si>
  <si>
    <t>20:00 - 07:46</t>
  </si>
  <si>
    <t>07:46 - 08:00</t>
  </si>
  <si>
    <t>08:00 - 11:06</t>
  </si>
  <si>
    <t>11:06 - 20:00</t>
  </si>
  <si>
    <t>20:00 - 05:33</t>
  </si>
  <si>
    <t>05:33 - 08:00</t>
  </si>
  <si>
    <t>08:00 - 08:53</t>
  </si>
  <si>
    <t>08:00 - 10:30</t>
  </si>
  <si>
    <t>10:30 - 17:01</t>
  </si>
  <si>
    <t>17:01 - 19:31</t>
  </si>
  <si>
    <t>19:31 - 20:00</t>
  </si>
  <si>
    <t>20:00 - 03:37</t>
  </si>
  <si>
    <t>03:37 - 06:57</t>
  </si>
  <si>
    <t>08:44 - 09:24</t>
  </si>
  <si>
    <t>09:24 - 20:00</t>
  </si>
  <si>
    <t>20:00 - 22:55</t>
  </si>
  <si>
    <t>22:55 - 01:25</t>
  </si>
  <si>
    <t>01:25 - 08:00</t>
  </si>
  <si>
    <t>08:00 - 14:56</t>
  </si>
  <si>
    <t>14:56 - 18:16</t>
  </si>
  <si>
    <t>06:57 - 08:00</t>
  </si>
  <si>
    <t>08:00 - 09:27</t>
  </si>
  <si>
    <t>09:27 - 10:46</t>
  </si>
  <si>
    <t>10:46 - 11:01</t>
  </si>
  <si>
    <t>11:01 - 12:20</t>
  </si>
  <si>
    <t>12:20 - 12:35</t>
  </si>
  <si>
    <t>12:35 - 13:01</t>
  </si>
  <si>
    <t>13:01 - 13:16</t>
  </si>
  <si>
    <t>13:16 - 15:54</t>
  </si>
  <si>
    <t>15:54 - 16:09</t>
  </si>
  <si>
    <t>16:09 - 20:00</t>
  </si>
  <si>
    <t>20:00 - 21:09</t>
  </si>
  <si>
    <t>21:09 - 23:39</t>
  </si>
  <si>
    <t>23:39 - 00:58</t>
  </si>
  <si>
    <t>00:58 - 01:13</t>
  </si>
  <si>
    <t>01:13 - 02:31</t>
  </si>
  <si>
    <t>02:31 - 02:46</t>
  </si>
  <si>
    <t>02:46 - 05:24</t>
  </si>
  <si>
    <t>05:24 - 08:00</t>
  </si>
  <si>
    <t>08:00 - 08:44</t>
  </si>
  <si>
    <t>09:00 - 09:20</t>
  </si>
  <si>
    <t>09:20 - 10:41</t>
  </si>
  <si>
    <t>10:41 - 11:01</t>
  </si>
  <si>
    <t>11:01 - 12:23</t>
  </si>
  <si>
    <t>12:23 - 12:43</t>
  </si>
  <si>
    <t>12:43 - 14:46</t>
  </si>
  <si>
    <t>14:46 - 15:06</t>
  </si>
  <si>
    <t>15:06 - 20:00</t>
  </si>
  <si>
    <t>20:00 - 21:55</t>
  </si>
  <si>
    <t>21:55 - 22:15</t>
  </si>
  <si>
    <t>22:15 - 23:37</t>
  </si>
  <si>
    <t>23:37 - 23:57</t>
  </si>
  <si>
    <t>23:57 - 01:19</t>
  </si>
  <si>
    <t>01:19 - 02:49</t>
  </si>
  <si>
    <t>02:49 - 08:00</t>
  </si>
  <si>
    <t>08:00 - 09:38</t>
  </si>
  <si>
    <t>09:38 - 09:58</t>
  </si>
  <si>
    <t>09:58 - 16:47</t>
  </si>
  <si>
    <t>16:47 - 17:07</t>
  </si>
  <si>
    <t>17:07 - 19:50</t>
  </si>
  <si>
    <t>19:50 - 20:00</t>
  </si>
  <si>
    <t>20:00 - 21:20</t>
  </si>
  <si>
    <t>21:20 - 22:50</t>
  </si>
  <si>
    <t>22:50 - 08:00</t>
  </si>
  <si>
    <t>08:00 - 08:50</t>
  </si>
  <si>
    <t>08:50 - 09:50</t>
  </si>
  <si>
    <t>09:50 - 16:30</t>
  </si>
  <si>
    <t>16:30 - 18:00</t>
  </si>
  <si>
    <t>18:00 - 20:00</t>
  </si>
  <si>
    <t>20:00 - 00:40</t>
  </si>
  <si>
    <t>00:40 - 01:40</t>
  </si>
  <si>
    <t>01:40 - 08:00</t>
  </si>
  <si>
    <t>08:00 - 08:20</t>
  </si>
  <si>
    <t>08:20 - 09:20</t>
  </si>
  <si>
    <t>09:20 - 19:20</t>
  </si>
  <si>
    <t>19:20 - 20:00</t>
  </si>
  <si>
    <t>20:00 - 20:20</t>
  </si>
  <si>
    <t>20:20 - 03:00</t>
  </si>
  <si>
    <t>03:00 - 04:00</t>
  </si>
  <si>
    <t>04:00 - 08:00</t>
  </si>
  <si>
    <t>08:00 - 10:40</t>
  </si>
  <si>
    <t>10:40 - 11:40</t>
  </si>
  <si>
    <t>11:40 - 18:20</t>
  </si>
  <si>
    <t>18:20 - 19:20</t>
  </si>
  <si>
    <t>20:00 - 02:00</t>
  </si>
  <si>
    <t>02:00 - 03:00</t>
  </si>
  <si>
    <t>03:00 - 08:00</t>
  </si>
  <si>
    <t>08:00 - 09:40</t>
  </si>
  <si>
    <t>09:40 - 10:40</t>
  </si>
  <si>
    <t>10:40 - 20:00</t>
  </si>
  <si>
    <t>20:00 - 06:40</t>
  </si>
  <si>
    <t>06:40 - 07:40</t>
  </si>
  <si>
    <t>07:40 - 08:00</t>
  </si>
  <si>
    <t>08:00 - 14:20</t>
  </si>
  <si>
    <t>14:20 - 15:20</t>
  </si>
  <si>
    <t>15:20 - 20:00</t>
  </si>
  <si>
    <t>20:00 - 22:00</t>
  </si>
  <si>
    <t>22:00 - 23:30</t>
  </si>
  <si>
    <t>23:30 - 06:10</t>
  </si>
  <si>
    <t>06:10 - 07:10</t>
  </si>
  <si>
    <t>07:10 - 08:00</t>
  </si>
  <si>
    <t>08:00 - 13:50</t>
  </si>
  <si>
    <t>13:50 - 14:50</t>
  </si>
  <si>
    <t>14:50 - 20:00</t>
  </si>
  <si>
    <t>20:00 - 21:30</t>
  </si>
  <si>
    <t>21:30 - 22:30</t>
  </si>
  <si>
    <t>22:30 - 05:10</t>
  </si>
  <si>
    <t>05:10 - 06:10</t>
  </si>
  <si>
    <t>06:10 - 08:00</t>
  </si>
  <si>
    <t>08:00 - 19:30</t>
  </si>
  <si>
    <t>19:30 - 20:00</t>
  </si>
  <si>
    <t>20:00 - 21:00</t>
  </si>
  <si>
    <t>21:00 - 08:00</t>
  </si>
  <si>
    <t>20:20 - 21:20</t>
  </si>
  <si>
    <t>21:20 - 04:00</t>
  </si>
  <si>
    <t>04:00 - 05:00</t>
  </si>
  <si>
    <t>05:00 - 08:00</t>
  </si>
  <si>
    <t>08:00 - 11:40</t>
  </si>
  <si>
    <t>11:40 - 13:10</t>
  </si>
  <si>
    <t>13:10 - 20:00</t>
  </si>
  <si>
    <t>20:00 - 02:30</t>
  </si>
  <si>
    <t>02:30 - 03:30</t>
  </si>
  <si>
    <t>03:30 - 08:00</t>
  </si>
  <si>
    <t>08:00 - 16:50</t>
  </si>
  <si>
    <t>16:50 - 18:20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</si>
</sst>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,\ hh:mm"/>
    <numFmt numFmtId="165" formatCode="h:mm;@"/>
    <numFmt numFmtId="166" formatCode="[h]:mm"/>
    <numFmt numFmtId="167" formatCode="_-* #,##0_р_._-;\-* #,##0_р_._-;_-* &quot;-&quot;??_р_._-;_-@_-"/>
    <numFmt numFmtId="168" formatCode="[$-F400]h:mm:ss\ AM/PM"/>
    <numFmt numFmtId="169" formatCode="h:mm:ss;@"/>
    <numFmt numFmtId="170" formatCode="_-* #,##0.00_р_._-;\-* #,##0.00_р_._-;_-* &quot;-&quot;??_р_._-;_-@_-"/>
    <numFmt numFmtId="171" formatCode="dd\.mm\.yyyy"/>
    <numFmt numFmtId="172" formatCode="#,##0.0"/>
  </numFmts>
  <fonts count="18" x14ac:knownFonts="1">
    <font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charset val="204"/>
      <scheme val="minor"/>
    </font>
    <font>
      <b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 Cyr"/>
      <charset val="204"/>
    </font>
    <font>
      <b/>
      <sz val="11"/>
      <name val="Arial"/>
      <family val="2"/>
      <charset val="204"/>
    </font>
    <font>
      <sz val="10"/>
      <name val="Arial CYR"/>
    </font>
    <font>
      <b/>
      <sz val="11"/>
      <color rgb="FFFFFFFF"/>
      <name val="Arial"/>
      <family val="2"/>
      <charset val="204"/>
    </font>
    <font>
      <b/>
      <sz val="12"/>
      <color theme="1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/>
      </bottom>
      <diagonal/>
    </border>
  </borders>
  <cellStyleXfs count="3">
    <xf numFmtId="0" fontId="0" fillId="0" borderId="0"/>
    <xf numFmtId="0" fontId="3" fillId="0" borderId="0"/>
    <xf numFmtId="170" fontId="15" fillId="0" borderId="0" applyFont="0" applyFill="0" applyBorder="0" applyProtection="0"/>
  </cellStyleXfs>
  <cellXfs count="166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fill" vertical="top" wrapText="1"/>
    </xf>
    <xf numFmtId="0" fontId="6" fillId="0" borderId="3" xfId="1" applyFont="1" applyBorder="1" applyAlignment="1">
      <alignment horizontal="fill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5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" fontId="9" fillId="4" borderId="7" xfId="0" applyNumberFormat="1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6" fontId="9" fillId="5" borderId="6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10" fillId="4" borderId="1" xfId="0" applyNumberFormat="1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/>
    </xf>
    <xf numFmtId="166" fontId="9" fillId="4" borderId="2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164" fontId="10" fillId="5" borderId="4" xfId="0" applyNumberFormat="1" applyFont="1" applyFill="1" applyBorder="1" applyAlignment="1">
      <alignment horizontal="center"/>
    </xf>
    <xf numFmtId="164" fontId="10" fillId="5" borderId="3" xfId="0" applyNumberFormat="1" applyFont="1" applyFill="1" applyBorder="1" applyAlignment="1">
      <alignment horizont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" fontId="9" fillId="5" borderId="9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3" fontId="9" fillId="6" borderId="3" xfId="0" applyNumberFormat="1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/>
    </xf>
    <xf numFmtId="164" fontId="10" fillId="5" borderId="6" xfId="0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64" fontId="13" fillId="4" borderId="1" xfId="0" applyNumberFormat="1" applyFont="1" applyFill="1" applyBorder="1" applyAlignment="1">
      <alignment horizontal="center"/>
    </xf>
    <xf numFmtId="164" fontId="13" fillId="4" borderId="2" xfId="0" applyNumberFormat="1" applyFont="1" applyFill="1" applyBorder="1" applyAlignment="1">
      <alignment horizontal="center"/>
    </xf>
    <xf numFmtId="166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" fontId="14" fillId="4" borderId="7" xfId="0" applyNumberFormat="1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164" fontId="10" fillId="5" borderId="5" xfId="0" applyNumberFormat="1" applyFont="1" applyFill="1" applyBorder="1" applyAlignment="1">
      <alignment horizontal="center" vertical="center"/>
    </xf>
    <xf numFmtId="164" fontId="10" fillId="5" borderId="6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0" fillId="5" borderId="4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12" fillId="0" borderId="0" xfId="0" applyFont="1"/>
    <xf numFmtId="165" fontId="14" fillId="4" borderId="2" xfId="0" applyNumberFormat="1" applyFont="1" applyFill="1" applyBorder="1" applyAlignment="1">
      <alignment horizontal="center" vertical="center"/>
    </xf>
    <xf numFmtId="1" fontId="14" fillId="4" borderId="2" xfId="0" applyNumberFormat="1" applyFont="1" applyFill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/>
    </xf>
    <xf numFmtId="166" fontId="9" fillId="0" borderId="11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" fontId="9" fillId="5" borderId="3" xfId="0" applyNumberFormat="1" applyFont="1" applyFill="1" applyBorder="1" applyAlignment="1">
      <alignment horizontal="center" vertical="center"/>
    </xf>
    <xf numFmtId="0" fontId="12" fillId="5" borderId="0" xfId="0" applyFont="1" applyFill="1"/>
    <xf numFmtId="1" fontId="9" fillId="0" borderId="12" xfId="0" applyNumberFormat="1" applyFont="1" applyBorder="1" applyAlignment="1">
      <alignment horizontal="center" vertical="center"/>
    </xf>
    <xf numFmtId="3" fontId="9" fillId="5" borderId="6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65" fontId="12" fillId="0" borderId="0" xfId="0" applyNumberFormat="1" applyFont="1"/>
    <xf numFmtId="0" fontId="12" fillId="0" borderId="0" xfId="0" applyFont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/>
    </xf>
    <xf numFmtId="164" fontId="13" fillId="7" borderId="2" xfId="0" applyNumberFormat="1" applyFont="1" applyFill="1" applyBorder="1" applyAlignment="1">
      <alignment horizontal="center"/>
    </xf>
    <xf numFmtId="169" fontId="14" fillId="7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" fontId="14" fillId="7" borderId="7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9" fontId="12" fillId="0" borderId="0" xfId="0" applyNumberFormat="1" applyFont="1"/>
    <xf numFmtId="164" fontId="13" fillId="0" borderId="12" xfId="0" applyNumberFormat="1" applyFont="1" applyBorder="1" applyAlignment="1">
      <alignment horizontal="center"/>
    </xf>
    <xf numFmtId="165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7" fontId="9" fillId="0" borderId="3" xfId="2" applyNumberFormat="1" applyFont="1" applyFill="1" applyBorder="1" applyAlignment="1">
      <alignment horizontal="center" vertical="center"/>
    </xf>
    <xf numFmtId="0" fontId="9" fillId="0" borderId="3" xfId="2" applyNumberFormat="1" applyFont="1" applyFill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0" fontId="9" fillId="0" borderId="6" xfId="2" applyNumberFormat="1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167" fontId="9" fillId="6" borderId="3" xfId="2" applyNumberFormat="1" applyFont="1" applyFill="1" applyBorder="1" applyAlignment="1">
      <alignment horizontal="center" vertical="center"/>
    </xf>
    <xf numFmtId="167" fontId="9" fillId="0" borderId="3" xfId="2" applyNumberFormat="1" applyFont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167" fontId="9" fillId="6" borderId="13" xfId="2" applyNumberFormat="1" applyFont="1" applyFill="1" applyBorder="1" applyAlignment="1">
      <alignment horizontal="center" vertical="center"/>
    </xf>
    <xf numFmtId="165" fontId="14" fillId="7" borderId="2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14" fillId="7" borderId="2" xfId="0" applyNumberFormat="1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22" fontId="0" fillId="0" borderId="0" xfId="0" applyNumberFormat="1"/>
    <xf numFmtId="21" fontId="0" fillId="0" borderId="0" xfId="0" applyNumberFormat="1"/>
    <xf numFmtId="0" fontId="0" fillId="2" borderId="0" xfId="0" applyFill="1"/>
    <xf numFmtId="164" fontId="10" fillId="8" borderId="3" xfId="0" applyNumberFormat="1" applyFont="1" applyFill="1" applyBorder="1" applyAlignment="1">
      <alignment horizontal="center"/>
    </xf>
    <xf numFmtId="0" fontId="0" fillId="5" borderId="9" xfId="0" applyFill="1" applyBorder="1" applyAlignment="1">
      <alignment horizontal="right"/>
    </xf>
    <xf numFmtId="0" fontId="0" fillId="0" borderId="4" xfId="0" applyBorder="1"/>
    <xf numFmtId="0" fontId="9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171" fontId="0" fillId="10" borderId="3" xfId="0" applyNumberFormat="1" applyFill="1" applyBorder="1" applyAlignment="1">
      <alignment horizontal="center"/>
    </xf>
    <xf numFmtId="3" fontId="0" fillId="11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0" fontId="0" fillId="12" borderId="0" xfId="0" applyFill="1" applyAlignment="1">
      <alignment horizontal="center"/>
    </xf>
    <xf numFmtId="0" fontId="2" fillId="0" borderId="0" xfId="0" applyFont="1" applyAlignment="1">
      <alignment horizontal="center"/>
    </xf>
    <xf numFmtId="3" fontId="0" fillId="10" borderId="3" xfId="0" applyNumberFormat="1" applyFill="1" applyBorder="1" applyAlignment="1">
      <alignment horizontal="center"/>
    </xf>
    <xf numFmtId="171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171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13" borderId="3" xfId="0" applyFill="1" applyBorder="1" applyAlignment="1">
      <alignment horizontal="center"/>
    </xf>
    <xf numFmtId="171" fontId="0" fillId="13" borderId="3" xfId="0" applyNumberFormat="1" applyFill="1" applyBorder="1" applyAlignment="1">
      <alignment horizontal="center"/>
    </xf>
    <xf numFmtId="3" fontId="0" fillId="13" borderId="3" xfId="0" applyNumberFormat="1" applyFill="1" applyBorder="1" applyAlignment="1">
      <alignment horizontal="center"/>
    </xf>
    <xf numFmtId="0" fontId="17" fillId="0" borderId="0" xfId="0" applyFont="1"/>
    <xf numFmtId="3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</cellXfs>
  <cellStyles count="3">
    <cellStyle name="Обычный" xfId="0" builtinId="0"/>
    <cellStyle name="Обычный 2" xfId="1" xr:uid="{417F7DD8-A83E-4C2F-9666-5E2729015A1A}"/>
    <cellStyle name="Финансовый 2" xfId="2" xr:uid="{34A33FDD-F2F3-44C5-B3EC-3E4F59EA8182}"/>
  </cellStyles>
  <dxfs count="223"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1" formatCode="dd\.mm\.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7" formatCode="_-* #,##0_р_._-;\-* #,##0_р_._-;_-* &quot;-&quot;??_р_._-;_-@_-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5" formatCode="h:mm;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charset val="204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numFmt numFmtId="166" formatCode="[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4" formatCode="dd\ mmmm\,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charset val="204"/>
      </font>
      <numFmt numFmtId="167" formatCode="_-* #,##0_р_._-;\-* #,##0_р_._-;_-* &quot;-&quot;??_р_._-;_-@_-"/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numFmt numFmtId="167" formatCode="_-* #,##0_р_._-;\-* #,##0_р_._-;_-* &quot;-&quot;??_р_.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166" formatCode="[h]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4" formatCode="dd\ mmmm\,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family val="2"/>
        <charset val="204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262704-D5DB-47F4-8027-DCD537B2C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188087-6E15-4F08-A1BF-36269957A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4" name="Picture 98">
          <a:extLst>
            <a:ext uri="{FF2B5EF4-FFF2-40B4-BE49-F238E27FC236}">
              <a16:creationId xmlns:a16="http://schemas.microsoft.com/office/drawing/2014/main" id="{C3FA4244-AF55-42C0-9C6A-E8D3CE5F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5" name="Picture 99">
          <a:extLst>
            <a:ext uri="{FF2B5EF4-FFF2-40B4-BE49-F238E27FC236}">
              <a16:creationId xmlns:a16="http://schemas.microsoft.com/office/drawing/2014/main" id="{07EB2D5C-1602-47CF-8103-84A80067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CFE3751-CC4A-40F6-B27F-CBAA8222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27895C5-B089-44E3-BAB1-C18B8496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8" name="Picture 98">
          <a:extLst>
            <a:ext uri="{FF2B5EF4-FFF2-40B4-BE49-F238E27FC236}">
              <a16:creationId xmlns:a16="http://schemas.microsoft.com/office/drawing/2014/main" id="{794EB577-0F4A-49DF-9C7C-68BD1970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9" name="Picture 99">
          <a:extLst>
            <a:ext uri="{FF2B5EF4-FFF2-40B4-BE49-F238E27FC236}">
              <a16:creationId xmlns:a16="http://schemas.microsoft.com/office/drawing/2014/main" id="{37D66352-D5F6-4E3F-91CD-B349055F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35DEE09D-D3B2-4311-812F-847C2604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19344598-27CE-406E-81EA-07693D28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12" name="Picture 98">
          <a:extLst>
            <a:ext uri="{FF2B5EF4-FFF2-40B4-BE49-F238E27FC236}">
              <a16:creationId xmlns:a16="http://schemas.microsoft.com/office/drawing/2014/main" id="{52231559-3831-483D-9D17-B13F795A9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13" name="Picture 99">
          <a:extLst>
            <a:ext uri="{FF2B5EF4-FFF2-40B4-BE49-F238E27FC236}">
              <a16:creationId xmlns:a16="http://schemas.microsoft.com/office/drawing/2014/main" id="{1AAD2B21-2D15-476D-9A00-14706449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3B9EF57E-C81E-4A4D-960F-BE7001A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8B70ACC1-54A5-4D14-A178-A148576D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16" name="Picture 98">
          <a:extLst>
            <a:ext uri="{FF2B5EF4-FFF2-40B4-BE49-F238E27FC236}">
              <a16:creationId xmlns:a16="http://schemas.microsoft.com/office/drawing/2014/main" id="{E87047C5-C21F-4D24-8CEF-72C11604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17" name="Picture 99">
          <a:extLst>
            <a:ext uri="{FF2B5EF4-FFF2-40B4-BE49-F238E27FC236}">
              <a16:creationId xmlns:a16="http://schemas.microsoft.com/office/drawing/2014/main" id="{B50F3115-43F3-45C4-B8B7-D95F1566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DC649FDE-645B-4509-8065-A8C1B25A9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19" name="Picture 3">
          <a:extLst>
            <a:ext uri="{FF2B5EF4-FFF2-40B4-BE49-F238E27FC236}">
              <a16:creationId xmlns:a16="http://schemas.microsoft.com/office/drawing/2014/main" id="{8545069B-0922-4901-A92C-786D4E03E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0" name="Picture 98">
          <a:extLst>
            <a:ext uri="{FF2B5EF4-FFF2-40B4-BE49-F238E27FC236}">
              <a16:creationId xmlns:a16="http://schemas.microsoft.com/office/drawing/2014/main" id="{FB37E035-A98C-43E5-B7F1-A0CC8AA44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1" name="Picture 99">
          <a:extLst>
            <a:ext uri="{FF2B5EF4-FFF2-40B4-BE49-F238E27FC236}">
              <a16:creationId xmlns:a16="http://schemas.microsoft.com/office/drawing/2014/main" id="{AA37A19E-B89F-4249-84B9-96E8539A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AEE2532D-0B7E-484F-B498-070ECBF8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15F3F172-FFC5-41AE-9E0F-6B22D5D3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4" name="Picture 98">
          <a:extLst>
            <a:ext uri="{FF2B5EF4-FFF2-40B4-BE49-F238E27FC236}">
              <a16:creationId xmlns:a16="http://schemas.microsoft.com/office/drawing/2014/main" id="{8C3FFFCA-519A-4329-A12E-A99D6612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5" name="Picture 99">
          <a:extLst>
            <a:ext uri="{FF2B5EF4-FFF2-40B4-BE49-F238E27FC236}">
              <a16:creationId xmlns:a16="http://schemas.microsoft.com/office/drawing/2014/main" id="{CC1D07D0-3DB2-4449-95EE-5F747FD3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F6496252-67B8-4F17-BB1B-383F966F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27" name="Picture 3">
          <a:extLst>
            <a:ext uri="{FF2B5EF4-FFF2-40B4-BE49-F238E27FC236}">
              <a16:creationId xmlns:a16="http://schemas.microsoft.com/office/drawing/2014/main" id="{87FD50A9-F196-4B8E-A31E-B9C3CC1D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8" name="Picture 98">
          <a:extLst>
            <a:ext uri="{FF2B5EF4-FFF2-40B4-BE49-F238E27FC236}">
              <a16:creationId xmlns:a16="http://schemas.microsoft.com/office/drawing/2014/main" id="{E0E4AB7C-A0E6-4F87-B8E6-97E40269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29" name="Picture 99">
          <a:extLst>
            <a:ext uri="{FF2B5EF4-FFF2-40B4-BE49-F238E27FC236}">
              <a16:creationId xmlns:a16="http://schemas.microsoft.com/office/drawing/2014/main" id="{9A3C2B6D-EFDF-4507-883B-1DE53C35A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958BD76C-25EF-4C79-98F8-323841805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781050</xdr:colOff>
      <xdr:row>0</xdr:row>
      <xdr:rowOff>0</xdr:rowOff>
    </xdr:to>
    <xdr:pic>
      <xdr:nvPicPr>
        <xdr:cNvPr id="31" name="Picture 3">
          <a:extLst>
            <a:ext uri="{FF2B5EF4-FFF2-40B4-BE49-F238E27FC236}">
              <a16:creationId xmlns:a16="http://schemas.microsoft.com/office/drawing/2014/main" id="{E6C51556-1541-4A6F-991B-4580C0A8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60629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32" name="Picture 98">
          <a:extLst>
            <a:ext uri="{FF2B5EF4-FFF2-40B4-BE49-F238E27FC236}">
              <a16:creationId xmlns:a16="http://schemas.microsoft.com/office/drawing/2014/main" id="{0E9D13D6-9EE8-4EDC-9416-BE283644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pic>
      <xdr:nvPicPr>
        <xdr:cNvPr id="33" name="Picture 99">
          <a:extLst>
            <a:ext uri="{FF2B5EF4-FFF2-40B4-BE49-F238E27FC236}">
              <a16:creationId xmlns:a16="http://schemas.microsoft.com/office/drawing/2014/main" id="{67B4DACE-0827-406C-9A33-4037BA69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168140" y="0"/>
          <a:ext cx="471678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76200</xdr:rowOff>
    </xdr:from>
    <xdr:to>
      <xdr:col>8</xdr:col>
      <xdr:colOff>0</xdr:colOff>
      <xdr:row>2</xdr:row>
      <xdr:rowOff>76200</xdr:rowOff>
    </xdr:to>
    <xdr:pic>
      <xdr:nvPicPr>
        <xdr:cNvPr id="2" name="Picture 109">
          <a:extLst>
            <a:ext uri="{FF2B5EF4-FFF2-40B4-BE49-F238E27FC236}">
              <a16:creationId xmlns:a16="http://schemas.microsoft.com/office/drawing/2014/main" id="{EAA77518-3311-43D7-8516-C489A416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</xdr:row>
      <xdr:rowOff>76200</xdr:rowOff>
    </xdr:from>
    <xdr:to>
      <xdr:col>8</xdr:col>
      <xdr:colOff>0</xdr:colOff>
      <xdr:row>2</xdr:row>
      <xdr:rowOff>76200</xdr:rowOff>
    </xdr:to>
    <xdr:pic>
      <xdr:nvPicPr>
        <xdr:cNvPr id="3" name="Picture 109">
          <a:extLst>
            <a:ext uri="{FF2B5EF4-FFF2-40B4-BE49-F238E27FC236}">
              <a16:creationId xmlns:a16="http://schemas.microsoft.com/office/drawing/2014/main" id="{94FD2D84-B32B-4880-BCA2-6E6B93A6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</xdr:row>
      <xdr:rowOff>76200</xdr:rowOff>
    </xdr:from>
    <xdr:to>
      <xdr:col>8</xdr:col>
      <xdr:colOff>0</xdr:colOff>
      <xdr:row>2</xdr:row>
      <xdr:rowOff>76200</xdr:rowOff>
    </xdr:to>
    <xdr:pic>
      <xdr:nvPicPr>
        <xdr:cNvPr id="4" name="Picture 109">
          <a:extLst>
            <a:ext uri="{FF2B5EF4-FFF2-40B4-BE49-F238E27FC236}">
              <a16:creationId xmlns:a16="http://schemas.microsoft.com/office/drawing/2014/main" id="{B26FC2F4-8281-4CAA-85DC-71B6C6EA0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5</xdr:row>
      <xdr:rowOff>76200</xdr:rowOff>
    </xdr:from>
    <xdr:to>
      <xdr:col>8</xdr:col>
      <xdr:colOff>0</xdr:colOff>
      <xdr:row>5</xdr:row>
      <xdr:rowOff>76200</xdr:rowOff>
    </xdr:to>
    <xdr:pic>
      <xdr:nvPicPr>
        <xdr:cNvPr id="5" name="Picture 109">
          <a:extLst>
            <a:ext uri="{FF2B5EF4-FFF2-40B4-BE49-F238E27FC236}">
              <a16:creationId xmlns:a16="http://schemas.microsoft.com/office/drawing/2014/main" id="{3101EC11-AF13-4122-B701-C6DFE9F2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5</xdr:row>
      <xdr:rowOff>76200</xdr:rowOff>
    </xdr:from>
    <xdr:to>
      <xdr:col>8</xdr:col>
      <xdr:colOff>0</xdr:colOff>
      <xdr:row>5</xdr:row>
      <xdr:rowOff>76200</xdr:rowOff>
    </xdr:to>
    <xdr:pic>
      <xdr:nvPicPr>
        <xdr:cNvPr id="6" name="Picture 109">
          <a:extLst>
            <a:ext uri="{FF2B5EF4-FFF2-40B4-BE49-F238E27FC236}">
              <a16:creationId xmlns:a16="http://schemas.microsoft.com/office/drawing/2014/main" id="{725911F2-804E-46BD-8BD4-9406999C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5</xdr:row>
      <xdr:rowOff>76200</xdr:rowOff>
    </xdr:from>
    <xdr:to>
      <xdr:col>8</xdr:col>
      <xdr:colOff>0</xdr:colOff>
      <xdr:row>5</xdr:row>
      <xdr:rowOff>76200</xdr:rowOff>
    </xdr:to>
    <xdr:pic>
      <xdr:nvPicPr>
        <xdr:cNvPr id="7" name="Picture 109">
          <a:extLst>
            <a:ext uri="{FF2B5EF4-FFF2-40B4-BE49-F238E27FC236}">
              <a16:creationId xmlns:a16="http://schemas.microsoft.com/office/drawing/2014/main" id="{53AD9223-5834-4187-A709-653A453D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8</xdr:row>
      <xdr:rowOff>76200</xdr:rowOff>
    </xdr:from>
    <xdr:to>
      <xdr:col>8</xdr:col>
      <xdr:colOff>0</xdr:colOff>
      <xdr:row>8</xdr:row>
      <xdr:rowOff>76200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3A26717E-D521-44FA-B2EC-4D9FC9AC5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8</xdr:row>
      <xdr:rowOff>76200</xdr:rowOff>
    </xdr:from>
    <xdr:to>
      <xdr:col>8</xdr:col>
      <xdr:colOff>0</xdr:colOff>
      <xdr:row>8</xdr:row>
      <xdr:rowOff>76200</xdr:rowOff>
    </xdr:to>
    <xdr:pic>
      <xdr:nvPicPr>
        <xdr:cNvPr id="9" name="Picture 109">
          <a:extLst>
            <a:ext uri="{FF2B5EF4-FFF2-40B4-BE49-F238E27FC236}">
              <a16:creationId xmlns:a16="http://schemas.microsoft.com/office/drawing/2014/main" id="{036BAB5A-9AC7-4940-8F0E-230CB82E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8</xdr:row>
      <xdr:rowOff>76200</xdr:rowOff>
    </xdr:from>
    <xdr:to>
      <xdr:col>8</xdr:col>
      <xdr:colOff>0</xdr:colOff>
      <xdr:row>8</xdr:row>
      <xdr:rowOff>76200</xdr:rowOff>
    </xdr:to>
    <xdr:pic>
      <xdr:nvPicPr>
        <xdr:cNvPr id="10" name="Picture 109">
          <a:extLst>
            <a:ext uri="{FF2B5EF4-FFF2-40B4-BE49-F238E27FC236}">
              <a16:creationId xmlns:a16="http://schemas.microsoft.com/office/drawing/2014/main" id="{8EFA127F-0CB1-42C2-B3A1-B4FB912DC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20</xdr:row>
      <xdr:rowOff>76200</xdr:rowOff>
    </xdr:to>
    <xdr:pic>
      <xdr:nvPicPr>
        <xdr:cNvPr id="11" name="Picture 109">
          <a:extLst>
            <a:ext uri="{FF2B5EF4-FFF2-40B4-BE49-F238E27FC236}">
              <a16:creationId xmlns:a16="http://schemas.microsoft.com/office/drawing/2014/main" id="{D7DA4D9A-0C06-47EE-A972-69AC92B9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20</xdr:row>
      <xdr:rowOff>76200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E2B23862-0AC2-4839-999F-3F164CDB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20</xdr:row>
      <xdr:rowOff>76200</xdr:rowOff>
    </xdr:to>
    <xdr:pic>
      <xdr:nvPicPr>
        <xdr:cNvPr id="13" name="Picture 109">
          <a:extLst>
            <a:ext uri="{FF2B5EF4-FFF2-40B4-BE49-F238E27FC236}">
              <a16:creationId xmlns:a16="http://schemas.microsoft.com/office/drawing/2014/main" id="{EB70AF3A-7BEE-4333-938B-D5751758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523220" y="434340"/>
          <a:ext cx="1341120" cy="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AFE52C3-36BB-4CCD-8C16-C84B510AF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BC05E5DD-A896-4382-A364-E6BD31BC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98">
          <a:extLst>
            <a:ext uri="{FF2B5EF4-FFF2-40B4-BE49-F238E27FC236}">
              <a16:creationId xmlns:a16="http://schemas.microsoft.com/office/drawing/2014/main" id="{12726858-3DBA-4E80-ADDA-F5AA0756B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Picture 99">
          <a:extLst>
            <a:ext uri="{FF2B5EF4-FFF2-40B4-BE49-F238E27FC236}">
              <a16:creationId xmlns:a16="http://schemas.microsoft.com/office/drawing/2014/main" id="{BA3E240E-952D-4CCF-AC5F-4AC81A79D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FFED428-9C20-4766-8C30-2A300AB6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2E1B2D4D-41C3-43CF-BFA2-D3266CE7F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8" name="Picture 98">
          <a:extLst>
            <a:ext uri="{FF2B5EF4-FFF2-40B4-BE49-F238E27FC236}">
              <a16:creationId xmlns:a16="http://schemas.microsoft.com/office/drawing/2014/main" id="{74FF76D0-26C4-4C26-8602-2B547B56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9" name="Picture 99">
          <a:extLst>
            <a:ext uri="{FF2B5EF4-FFF2-40B4-BE49-F238E27FC236}">
              <a16:creationId xmlns:a16="http://schemas.microsoft.com/office/drawing/2014/main" id="{2EEC1E86-DCED-4B4A-A3E6-7A26A4DB3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7641EE8-F430-4F39-9D6B-433D5222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91A407B-4255-4729-A941-B5D3008AF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98">
          <a:extLst>
            <a:ext uri="{FF2B5EF4-FFF2-40B4-BE49-F238E27FC236}">
              <a16:creationId xmlns:a16="http://schemas.microsoft.com/office/drawing/2014/main" id="{FD062087-AB7D-424A-876D-A7229E49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Picture 99">
          <a:extLst>
            <a:ext uri="{FF2B5EF4-FFF2-40B4-BE49-F238E27FC236}">
              <a16:creationId xmlns:a16="http://schemas.microsoft.com/office/drawing/2014/main" id="{5E0D7561-5639-4B35-8AD8-949EB536B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" name="Picture 109">
          <a:extLst>
            <a:ext uri="{FF2B5EF4-FFF2-40B4-BE49-F238E27FC236}">
              <a16:creationId xmlns:a16="http://schemas.microsoft.com/office/drawing/2014/main" id="{E678C320-2A4A-46EA-AAF4-83421FCE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1F99B107-AA6E-4B2A-A4AB-CFDABDF9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39022E55-7F80-415C-93FF-EA9E07E8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9" name="Picture 98">
          <a:extLst>
            <a:ext uri="{FF2B5EF4-FFF2-40B4-BE49-F238E27FC236}">
              <a16:creationId xmlns:a16="http://schemas.microsoft.com/office/drawing/2014/main" id="{98AD911F-306E-4911-B2D4-C40983406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" name="Picture 109">
          <a:extLst>
            <a:ext uri="{FF2B5EF4-FFF2-40B4-BE49-F238E27FC236}">
              <a16:creationId xmlns:a16="http://schemas.microsoft.com/office/drawing/2014/main" id="{E0B0B01B-6136-4D5F-8737-80E064AC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2C005BDF-4405-42CA-A845-A9CDAF0E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72A7C00B-7DD9-4929-9CD4-CCAB81D7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5CD49A6C-1F87-44F0-A60B-3AA85572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4" name="Picture 99">
          <a:extLst>
            <a:ext uri="{FF2B5EF4-FFF2-40B4-BE49-F238E27FC236}">
              <a16:creationId xmlns:a16="http://schemas.microsoft.com/office/drawing/2014/main" id="{7115E2C5-E0EA-4C91-A46D-FCC530B29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5" name="Picture 109">
          <a:extLst>
            <a:ext uri="{FF2B5EF4-FFF2-40B4-BE49-F238E27FC236}">
              <a16:creationId xmlns:a16="http://schemas.microsoft.com/office/drawing/2014/main" id="{73F8EF48-020B-44FC-9092-6A62C258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9464B301-1F8C-4E5B-87D3-7071EE0B6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4DDE2ACF-3490-4D2A-A422-B0979086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8" name="Picture 98">
          <a:extLst>
            <a:ext uri="{FF2B5EF4-FFF2-40B4-BE49-F238E27FC236}">
              <a16:creationId xmlns:a16="http://schemas.microsoft.com/office/drawing/2014/main" id="{B8540612-9CD3-45BC-86AD-2FBA5D59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9" name="Picture 109">
          <a:extLst>
            <a:ext uri="{FF2B5EF4-FFF2-40B4-BE49-F238E27FC236}">
              <a16:creationId xmlns:a16="http://schemas.microsoft.com/office/drawing/2014/main" id="{82FC7329-9CDB-41E4-AD5C-CB3C1AE4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E2594-6B96-4F14-AB89-82146FCBC534}" name="Люди" displayName="Люди" ref="A1:B13" totalsRowShown="0" headerRowDxfId="222" dataDxfId="221">
  <autoFilter ref="A1:B13" xr:uid="{FBFF92CC-5EFB-4029-A694-A472EC0185C6}"/>
  <tableColumns count="2">
    <tableColumn id="1" xr3:uid="{A25615F2-91E7-4A5B-8833-92B08B4D92BE}" name="Линия" dataDxfId="220"/>
    <tableColumn id="2" xr3:uid="{217DB55C-96DA-4937-914D-32E159594F01}" name="Всего человек" dataDxfId="2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AB17C-C7D2-4ADD-BF9C-1F56E432C625}" name="Люд" displayName="Люд" ref="E1:S42" headerRowDxfId="218" dataDxfId="216" totalsRowDxfId="214" headerRowBorderDxfId="217" tableBorderDxfId="215" totalsRowBorderDxfId="213">
  <autoFilter ref="E1:S42" xr:uid="{B239A9F4-DF0C-4BFB-89D5-23D0A6C18056}"/>
  <sortState xmlns:xlrd2="http://schemas.microsoft.com/office/spreadsheetml/2017/richdata2" ref="E2:S42">
    <sortCondition ref="E1:E42"/>
  </sortState>
  <tableColumns count="15">
    <tableColumn id="1" xr3:uid="{1316FD36-B05F-4E44-A803-33387A36AF0C}" name="Линия" totalsRowLabel="Итог" dataDxfId="212" totalsRowDxfId="211"/>
    <tableColumn id="2" xr3:uid="{EEC157E9-7F2D-4FEE-B2FC-1834526BE252}" name="Специальность" dataDxfId="210" totalsRowDxfId="209"/>
    <tableColumn id="3" xr3:uid="{109B83A1-CD2E-45AA-8391-59AE42ABA81C}" name="Колво" totalsRowFunction="sum" dataDxfId="208" totalsRowDxfId="207" dataCellStyle="Обычный 2"/>
    <tableColumn id="4" xr3:uid="{0CD6141A-7CB5-4C26-8B74-73ABA85EFF41}" name="1 смена" totalsRowFunction="count" dataDxfId="206" totalsRowDxfId="205" dataCellStyle="Обычный 2"/>
    <tableColumn id="8" xr3:uid="{780F9762-6F18-4C4A-9C80-EA2A7159B128}" name="Компетенция" dataDxfId="204" totalsRowDxfId="203" dataCellStyle="Обычный 2"/>
    <tableColumn id="12" xr3:uid="{5FCC2D8C-1115-42C2-A786-CABBB1C390BD}" name="Статус" dataDxfId="202" totalsRowDxfId="201" dataCellStyle="Обычный 2"/>
    <tableColumn id="5" xr3:uid="{B787C9FF-7D85-4EF7-BA04-FF4D44FD5B8E}" name="2 смена" totalsRowFunction="count" dataDxfId="200" totalsRowDxfId="199" dataCellStyle="Обычный 2"/>
    <tableColumn id="9" xr3:uid="{4C9C88E8-0044-4F0E-A50B-03C3A8E91EA3}" name="Компетенция 2" dataDxfId="198" totalsRowDxfId="197" dataCellStyle="Обычный 2"/>
    <tableColumn id="13" xr3:uid="{AE2169E7-0955-453F-A5F6-5A0E8A3C637C}" name="Статус 2" dataDxfId="196" totalsRowDxfId="195" dataCellStyle="Обычный 2"/>
    <tableColumn id="6" xr3:uid="{A049280A-8372-462F-A452-ABD33963ADDE}" name="3 смена" totalsRowFunction="count" dataDxfId="194" totalsRowDxfId="193" dataCellStyle="Обычный 2"/>
    <tableColumn id="10" xr3:uid="{80F0673F-AFD3-488E-ABCD-45685F1E16BB}" name="Компетенция 3" dataDxfId="192" totalsRowDxfId="191" dataCellStyle="Обычный 2"/>
    <tableColumn id="14" xr3:uid="{479F0A23-35C1-4FA6-A26D-8037297A70DE}" name="Статус 3" dataDxfId="190" totalsRowDxfId="189" dataCellStyle="Обычный 2"/>
    <tableColumn id="7" xr3:uid="{DD167319-5C64-4F82-8CD0-DA1E47182D0B}" name="4 смена" totalsRowFunction="count" dataDxfId="188" totalsRowDxfId="187" dataCellStyle="Обычный 2"/>
    <tableColumn id="11" xr3:uid="{630CB8DF-B5DC-4981-B465-0155CF735BD4}" name="Компетенция 4 " dataDxfId="186" totalsRowDxfId="185"/>
    <tableColumn id="15" xr3:uid="{604DDF99-FDB9-4744-9E9D-4FBDD96C577E}" name="Статус 4" dataDxfId="184" totalsRowDxfId="18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D3C52A-A552-401F-92AC-DD48DC501941}" name="Линия1" displayName="Линия1" ref="A2:H13" totalsRowShown="0" headerRowDxfId="182" dataDxfId="180" headerRowBorderDxfId="181" tableBorderDxfId="179" totalsRowBorderDxfId="178">
  <autoFilter ref="A2:H13" xr:uid="{FDC1BEB0-3326-41CB-81C4-CC0C0D58DB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8FD92B8-523D-4F38-AB9C-58703E4B12F0}" name="Дата начала" dataDxfId="177"/>
    <tableColumn id="2" xr3:uid="{5BB01E73-BE9D-42BD-B65F-C5A93777EEEB}" name="Дата конца" dataDxfId="176"/>
    <tableColumn id="3" xr3:uid="{91C71E99-9ED1-4322-968D-651EF3F1F113}" name="Длительность" dataDxfId="175">
      <calculatedColumnFormula>IF(E3="Вытеснение",TIME(0,30,0),
IF(E3="Передача смены",TIME(0,20,0),
IF(E3="Запуск",TIME(0,30,0),
IF(E3="Смена ассортимента",TIME(0,15,0),
IF(E3="Переналадка формата",TIME(1,0,0),
IF(E3="CIP 1",TIME(0,40,0),
IF(E3="CIP 2",TIME(4,0,0),
IF(E3="CIP 3",TIME(5,0,0),
IF(AND(ISNUMBER(F3),ISNUMBER(D3),D3&gt;0),F3/D3/24,"Ошибка")))))))))</calculatedColumnFormula>
    </tableColumn>
    <tableColumn id="4" xr3:uid="{95C25A61-FAFD-4D1E-994B-94D7F66D4544}" name="Скорость" dataDxfId="174"/>
    <tableColumn id="5" xr3:uid="{A3BB902F-1CB3-440C-9B5F-B713C64A96E5}" name="Наименование" dataDxfId="173"/>
    <tableColumn id="6" xr3:uid="{0EDCA68C-64FC-4029-B51E-2A044AA50E24}" name="Количество" dataDxfId="172"/>
    <tableColumn id="7" xr3:uid="{BC94D25B-38E4-4C81-BEBA-87367A0757E1}" name="Шт. в поддоне" dataDxfId="171"/>
    <tableColumn id="8" xr3:uid="{4E8C3E73-9954-4396-9EA2-AFF2F8AACFFE}" name="Кол-во поддоном" dataDxfId="170">
      <calculatedColumnFormula>Линия1[[#This Row],[Количество]]/Линия1[[#This Row],[Шт. в поддоне]]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A3570F-0DB7-42FD-8FC9-E4A862E0F551}" name="Линия2" displayName="Линия2" ref="A2:H106" totalsRowShown="0" headerRowDxfId="169" dataDxfId="167" headerRowBorderDxfId="168" tableBorderDxfId="166" totalsRowBorderDxfId="165">
  <autoFilter ref="A2:H106" xr:uid="{75B8330E-5B41-45EE-8EE4-978AD68B36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3" xr3:uid="{93A13641-2567-49CE-8C96-B2E49AA3B037}" name="Дата начала" dataDxfId="164"/>
    <tableColumn id="4" xr3:uid="{834A819D-813B-4401-A2FE-A088DFAC95A6}" name="Дата конца" dataDxfId="163">
      <calculatedColumnFormula>Линия2[[#This Row],[Дата начала]]+Линия2[[#This Row],[Длительность]]</calculatedColumnFormula>
    </tableColumn>
    <tableColumn id="5" xr3:uid="{6D74680B-79A5-48B0-A354-CFD172928F02}" name="Длительность" dataDxfId="162">
      <calculatedColumnFormula>IF(E3="Вытеснение",TIME(0,30,0),
IF(E3="Передача смены",TIME(0,20,0),
IF(E3="Запуск",TIME(0,30,0),
IF(E3="Смена ассортимента",TIME(0,15,0),
IF(E3="Переналадка формата",TIME(5,0,0),
IF(E3="CIP 1",TIME(0,40,0),
IF(E3="CIP 2",TIME(2,30,0),
IF(E3="CIP 3",TIME(3,20,0),
IF(AND(ISNUMBER(F3),ISNUMBER(D3),D3&gt;0),F3/D3/24,"Ошибка")))))))))</calculatedColumnFormula>
    </tableColumn>
    <tableColumn id="6" xr3:uid="{5979440B-34E8-4321-9E0B-4CBEF9220320}" name="Скорость" dataDxfId="161"/>
    <tableColumn id="7" xr3:uid="{4A332940-DAED-4A20-83D3-A0B9F1A94AB7}" name="Наименование" dataDxfId="160"/>
    <tableColumn id="8" xr3:uid="{1DC01B9E-AEF9-41A8-B2C7-6C797AC21465}" name="Количество" dataDxfId="159"/>
    <tableColumn id="9" xr3:uid="{EEC74906-1787-4D94-9E7E-C8BEC265966C}" name="Шт. в поддоне" dataDxfId="158"/>
    <tableColumn id="10" xr3:uid="{6FE17B14-4664-4FF7-A61E-2EEA1837AF28}" name="Кол-во поддоном" dataDxfId="15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0EEA4D-91CA-481B-BD87-F0B8CB321F72}" name="Линия3" displayName="Линия3" ref="A2:H189" totalsRowShown="0" headerRowDxfId="156" dataDxfId="154" headerRowBorderDxfId="155" tableBorderDxfId="153" totalsRowBorderDxfId="152">
  <autoFilter ref="A2:H189" xr:uid="{89555A8E-1660-4709-B98B-2A1B49A29B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FFBCF48-DDD2-4338-902C-A7CCDC1FBF7C}" name="Дата начала" dataDxfId="151"/>
    <tableColumn id="2" xr3:uid="{6EC24104-2726-433D-8EC8-712A0A5DC751}" name="Дата конца" dataDxfId="150">
      <calculatedColumnFormula>Линия3[[#This Row],[Дата начала]]+Линия3[[#This Row],[Длительность]]</calculatedColumnFormula>
    </tableColumn>
    <tableColumn id="3" xr3:uid="{B9EF4547-2408-4E5E-A167-B3053AC01075}" name="Длительность" dataDxfId="149">
      <calculatedColumnFormula>IF(E3="Вытеснение",TIME(0,30,0),
IF(E3="Передача смены",TIME(0,20,0),
IF(E3="Запуск",TIME(0,30,0),
IF(E3="Смена ассортимента",TIME(0,15,0),
IF(E3="Переналадка формата",TIME(5,0,0),
IF(E3="CIP 1",TIME(0,40,0),
IF(E3="CIP 2",TIME(2,30,0),
IF(E3="CIP 3",TIME(3,20,0),
IF(AND(ISNUMBER(F3),ISNUMBER(D3),D3&gt;0),F3/D3/24,"Ошибка")))))))))</calculatedColumnFormula>
    </tableColumn>
    <tableColumn id="4" xr3:uid="{E5984598-904C-4106-8A05-EAFC26758E08}" name="Скорость" dataDxfId="148"/>
    <tableColumn id="5" xr3:uid="{DC4E91AB-1053-44BF-8BA6-599535579B1D}" name="Наименование" dataDxfId="147"/>
    <tableColumn id="6" xr3:uid="{068C254A-C4A5-4AD2-9199-7D45B74060A8}" name="Количество" dataDxfId="146"/>
    <tableColumn id="7" xr3:uid="{AE958A81-5E81-4873-AB5B-7F94DA054432}" name="Шт. в поддоне" dataDxfId="145"/>
    <tableColumn id="8" xr3:uid="{695CD1FF-7029-4492-820A-53B35574D286}" name="Кол-во поддоном" dataDxfId="144">
      <calculatedColumnFormula>IFERROR(Линия3[[#This Row],[Количество]]/Линия3[[#This Row],[Шт. в поддоне]], "")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93AACC-847C-4F76-B835-7F9E882C5CE7}" name="Линия4" displayName="Линия4" ref="A2:H121" totalsRowShown="0" headerRowDxfId="143" headerRowBorderDxfId="142" tableBorderDxfId="141" totalsRowBorderDxfId="140">
  <autoFilter ref="A2:H121" xr:uid="{A965A8D2-0AB2-4B3D-9E08-BA4F49203C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105BEA-F71C-4D0F-88EA-F8E0A0C77B92}" name="Дата начала" dataDxfId="139">
      <calculatedColumnFormula>B2</calculatedColumnFormula>
    </tableColumn>
    <tableColumn id="2" xr3:uid="{2AE13CA1-0B64-4546-B1AE-5519E52713CC}" name="Дата конца" dataDxfId="138">
      <calculatedColumnFormula>Линия4[[#This Row],[Дата начала]]+Линия4[[#This Row],[Длительность]]</calculatedColumnFormula>
    </tableColumn>
    <tableColumn id="3" xr3:uid="{6A0764D4-D87C-4201-B41F-A9AF3F7413C9}" name="Длительность" dataDxfId="137">
      <calculatedColumnFormula>IF(E3="Вытеснение",TIME(0,30,0),
IF(E3="Передача смены",TIME(0,20,0),
IF(E3="Запуск",TIME(0,30,0),
IF(E3="Смена ассортимента",TIME(0,15,0),
IF(E3="Переналадка формата",TIME(5,0,0),
IF(E3="CIP 1",TIME(2,30,0),
IF(E3="CIP 2",TIME(2,30,0),
IF(E3="CIP 3",TIME(3,20,0),
IF(AND(ISNUMBER(F3),ISNUMBER(D3),D3&gt;0),F3/D3/24,"Ошибка")))))))))</calculatedColumnFormula>
    </tableColumn>
    <tableColumn id="4" xr3:uid="{702AFCAD-904E-49C6-8BFC-DF5F0D4820A2}" name="Скорость" dataDxfId="136"/>
    <tableColumn id="5" xr3:uid="{39C65203-EE90-4F05-9F95-B26A6860A96D}" name="Наименование" dataDxfId="135"/>
    <tableColumn id="6" xr3:uid="{32309D06-637D-43FE-B144-A081B9B7C7D3}" name="Количество" dataDxfId="134"/>
    <tableColumn id="7" xr3:uid="{CBAA46D0-E7EB-4CFF-B37B-660BF53A70B8}" name="Шт. в поддоне" dataDxfId="133"/>
    <tableColumn id="8" xr3:uid="{D3823B6A-D0F4-4ED1-AC50-68A7631DCD39}" name="Кол-во поддоном" dataDxfId="132">
      <calculatedColumnFormula>IFERROR(Линия4[[#This Row],[Количество]]/Линия4[[#This Row],[Шт. в поддоне]], "")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F99D70-D1C8-48D3-9902-1AB4931BDCA4}" name="Линия5" displayName="Линия5" ref="A2:H197" totalsRowShown="0" headerRowDxfId="131" dataDxfId="129" headerRowBorderDxfId="130" tableBorderDxfId="128" totalsRowBorderDxfId="127">
  <autoFilter ref="A2:H197" xr:uid="{7F6F51A2-D5D6-4675-BEE3-6678532D0C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566C28-47E5-4B90-8A45-EE9C4236CF0C}" name="Дата начала" dataDxfId="126"/>
    <tableColumn id="2" xr3:uid="{22AFF3ED-2B7A-4394-B44F-E74066ABF6ED}" name="Дата конца" dataDxfId="125">
      <calculatedColumnFormula>Линия5[[#This Row],[Дата начала]]+Линия5[[#This Row],[Длительность]]</calculatedColumnFormula>
    </tableColumn>
    <tableColumn id="3" xr3:uid="{7BC0DEA5-B7AB-4036-BE46-6FD8043E96BE}" name="Длительность" dataDxfId="124">
      <calculatedColumnFormula>IF(E3="Вытеснение",TIME(0,30,0),
IF(E3="Передача смены",TIME(0,20,0),
IF(E3="Запуск",TIME(0,30,0),
IF(E3="Смена ассортимента",TIME(0,15,0),
IF(E3="Переналадка формата",TIME(5,0,0),
IF(E3="CIP 1",TIME(0,20,0),
IF(E3="CIP 2",TIME(1,30,0),
IF(E3="CIP 3",TIME(3,20,0),
IF(AND(ISNUMBER(F3),ISNUMBER(D3),D3&gt;0),F3/D3/24,"Ошибка")))))))))</calculatedColumnFormula>
    </tableColumn>
    <tableColumn id="4" xr3:uid="{B9E21447-3366-42D2-BAF7-5369F78B87C2}" name="Скорость" dataDxfId="123"/>
    <tableColumn id="5" xr3:uid="{B2D5CD38-5139-444F-A154-84D64AE94008}" name="Наименование" dataDxfId="122"/>
    <tableColumn id="6" xr3:uid="{7248AA26-B91A-45C8-BEFB-67233A889186}" name="Количество" dataDxfId="121"/>
    <tableColumn id="7" xr3:uid="{7FB1D890-64B9-48AC-82B9-C83FDB276F8E}" name="Шт. в поддоне" dataDxfId="120"/>
    <tableColumn id="8" xr3:uid="{3EC2AD22-CAFA-475D-A6D5-D26635529A51}" name="Кол-во поддоном" dataDxfId="119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A25574-60FB-4401-8836-B02BC3855F57}" name="Линия6" displayName="Линия6" ref="A2:H45" totalsRowShown="0" headerRowDxfId="118" dataDxfId="117" tableBorderDxfId="116">
  <autoFilter ref="A2:H45" xr:uid="{EA5C1F21-CA72-41CC-A3A5-5871281EA371}"/>
  <tableColumns count="8">
    <tableColumn id="1" xr3:uid="{2E706093-D515-4A59-9F29-2586FA0056B1}" name="Дата начала" dataDxfId="115">
      <calculatedColumnFormula>B2</calculatedColumnFormula>
    </tableColumn>
    <tableColumn id="2" xr3:uid="{02EC0B80-6D61-4845-B9C3-AF1DF7AD127F}" name="Дата конца" dataDxfId="114">
      <calculatedColumnFormula>Линия6[[#This Row],[Дата начала]]+Линия6[[#This Row],[Длительность]]</calculatedColumnFormula>
    </tableColumn>
    <tableColumn id="3" xr3:uid="{F780109A-93C5-4FAF-85A2-0A4E58E76A61}" name="Длительность" dataDxfId="113">
      <calculatedColumnFormula>IF(E3="Вытеснение",TIME(0,30,0),
IF(E3="Передача смены",TIME(0,20,0),
IF(E3="Запуск",TIME(0,30,0),
IF(E3="CIP 1",TIME(0,30,0),
IF(E3="CIP 2",TIME(2,0,0),
IF(E3="CIP 3",TIME(3,0,0),
IF(E3="Переналадка формата",TIME(3,0,0),
IF(AND(ISNUMBER(F3),ISNUMBER(D3),D3&gt;0),F3/D3/24,"Ошибка"))))))))</calculatedColumnFormula>
    </tableColumn>
    <tableColumn id="4" xr3:uid="{565712DA-0EB2-4AC8-9D19-538695EF5C08}" name="Скорость" dataDxfId="112"/>
    <tableColumn id="5" xr3:uid="{31597543-F123-4D4A-BEAA-9B117B0F7C1A}" name="Наименование" dataDxfId="111"/>
    <tableColumn id="6" xr3:uid="{14985B68-4090-42A7-B715-F14D69A5E9B1}" name="Количество" dataDxfId="110" dataCellStyle="Финансовый 2"/>
    <tableColumn id="7" xr3:uid="{DAB7A4F2-D985-4D9C-AE07-D48B7C8D6CFA}" name="Шт. в поддоне" dataDxfId="109"/>
    <tableColumn id="8" xr3:uid="{981DB708-5E63-40CA-8F8D-DC216795BB35}" name="Кол-во поддоном" dataDxfId="108">
      <calculatedColumnFormula>IFERROR(Линия6[[#This Row],[Количество]]/Линия6[[#This Row],[Шт. в поддоне]], "")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A89BF4-60A8-4DEB-8ACB-8C22CA1833AC}" name="Линия7" displayName="Линия7" ref="A2:H17" totalsRowShown="0" headerRowDxfId="107" dataDxfId="105" headerRowBorderDxfId="106" tableBorderDxfId="104" totalsRowBorderDxfId="103">
  <autoFilter ref="A2:H17" xr:uid="{A4FBCD72-822F-44DC-8484-715214AF31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E944B2-632B-47B0-800E-9204A50AC2A1}" name="Дата начала" dataDxfId="102"/>
    <tableColumn id="2" xr3:uid="{3A3B3E85-B931-452A-AB6B-CC445E51746E}" name="Дата конца" dataDxfId="101">
      <calculatedColumnFormula>Линия7[[#This Row],[Дата начала]]+Линия7[[#This Row],[Длительность]]</calculatedColumnFormula>
    </tableColumn>
    <tableColumn id="3" xr3:uid="{4DE39E49-7843-4750-9577-2F51AEA8006E}" name="Длительность" dataDxfId="100">
      <calculatedColumnFormula array="1">IFERROR(_xlfn.SWITCH(E3,
  "Вытеснение", TIME(0,30,0),
  "Передача смены", TIME(0,20,0),
  "Запуск", TIME(0,10,0),
  "CIP 1", TIME(0,20,0),
  "CIP 2", TIME(2,0,0),
  "CIP 3", TIME(2,0,0),
  IF(AND(ISNUMBER(F3),ISNUMBER(D3),D3&gt;0), F3/D3/24, "")
), "")</calculatedColumnFormula>
    </tableColumn>
    <tableColumn id="4" xr3:uid="{C163F890-26DD-4268-A061-F0CD6AD113E5}" name="Скорость" dataDxfId="99"/>
    <tableColumn id="5" xr3:uid="{0F9C4903-0909-48D8-9CD2-724279BDFD49}" name="Наименование" dataDxfId="98"/>
    <tableColumn id="6" xr3:uid="{3389C27F-3433-4123-9268-0832BA689BFC}" name="Количество" dataDxfId="97"/>
    <tableColumn id="7" xr3:uid="{BF2424D7-C325-4FC6-B815-04BE71AC267D}" name="Шт. в поддоне" dataDxfId="96"/>
    <tableColumn id="8" xr3:uid="{9BFFEE4C-8A65-4E54-87BD-C6FC5FCCCA86}" name="Кол-во поддоном" dataDxfId="95">
      <calculatedColumnFormula>IFERROR(Линия7[[#This Row],[Количество]]/Линия7[[#This Row],[Шт. в поддоне]], "")</calculatedColumnFormula>
    </tableColumn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E0D24C-30F9-4CF6-8E0E-6DFEF490726A}" name="Линия9" displayName="Линия9" ref="A2:F7" totalsRowShown="0" headerRowDxfId="94" dataDxfId="92" headerRowBorderDxfId="93" tableBorderDxfId="91" totalsRowBorderDxfId="90">
  <autoFilter ref="A2:F7" xr:uid="{EA8DAA7F-FC9A-4269-AECA-B1B756FAEA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35D0D2-924D-427C-832F-33A093AB6E58}" name="Дата начала" dataDxfId="89"/>
    <tableColumn id="2" xr3:uid="{5AA51B2C-C077-4833-B8AB-26493DDB9A58}" name="Дата конца" dataDxfId="88">
      <calculatedColumnFormula>Линия9[[#This Row],[Дата начала]]+Линия9[[#This Row],[Длительность]]</calculatedColumnFormula>
    </tableColumn>
    <tableColumn id="3" xr3:uid="{EE728CA3-8166-4E3E-B23D-7E1CACF0F6FF}" name="Длительность" dataDxfId="87">
      <calculatedColumnFormula>IF(E3="Вытеснение",TIME(0,30,0),
IF(E3="Передача смены",TIME(0,20,0),
IF(E3="Запуск",TIME(0,30,0),
IF(E3="Смена ассортимента",TIME(0,15,0),
IF(E3="Стерилизация",TIME(0,40,0),
IF(E3="CIP 2",TIME(4,0,0),
IF(E3="CIP 3",TIME(5,0,0),
IF(E3="Переналадка формата",TIME(5,0,0),
IF(AND(ISNUMBER(F3),ISNUMBER(D3),D3&gt;0),F3/D3/24,"Ошибка")))))))))</calculatedColumnFormula>
    </tableColumn>
    <tableColumn id="4" xr3:uid="{66084E3A-8023-42B8-9373-9C84CB08B1B8}" name="Скорость" dataDxfId="86"/>
    <tableColumn id="5" xr3:uid="{494DD283-FC17-4DE4-B3E0-073E3D006E0E}" name="Наименование" dataDxfId="85"/>
    <tableColumn id="6" xr3:uid="{347DC035-334D-4B22-83AA-92D7949F0803}" name="Количество" dataDxfId="84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8FD540-8D23-4EE8-8B94-C71BB059E8FC}" name="Линия8" displayName="Линия8" ref="A2:H25" totalsRowShown="0" headerRowDxfId="83" dataDxfId="81" headerRowBorderDxfId="82" tableBorderDxfId="80" totalsRowBorderDxfId="79">
  <autoFilter ref="A2:H25" xr:uid="{CC7A0591-3354-4B1C-A727-1A88C34304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260E38-517B-4AC4-B201-DB0373945A18}" name="Дата начала" dataDxfId="78"/>
    <tableColumn id="2" xr3:uid="{AF46F217-E677-427E-B239-27BA6E3B3283}" name="Дата конца" dataDxfId="77">
      <calculatedColumnFormula>Линия8[[#This Row],[Дата начала]]+Линия8[[#This Row],[Длительность]]</calculatedColumnFormula>
    </tableColumn>
    <tableColumn id="3" xr3:uid="{CEFEE59B-9AD6-4E7F-849A-4518918124AE}" name="Длительность" dataDxfId="76">
      <calculatedColumnFormula>IF(E3="Вытеснение",TIME(0,30,0),
IF(E3="Передача смены",TIME(0,20,0),
IF(E3="Запуск",TIME(0,30,0),
IF(E3="Смена ассортимента",TIME(0,15,0),
IF(E3="Стерилизация",TIME(0,40,0),
IF(E3="CIP 2",TIME(4,0,0),
IF(E3="CIP 3",TIME(5,0,0),
IF(E3="мойка",TIME(8,0,0),
IF(AND(ISNUMBER(F3),ISNUMBER(D3),D3&gt;0),F3/D3/24,"Ошибка")))))))))</calculatedColumnFormula>
    </tableColumn>
    <tableColumn id="4" xr3:uid="{426E3B1C-F4D7-4F50-8A9C-E92E610A6CFB}" name="Скорость" dataDxfId="75"/>
    <tableColumn id="5" xr3:uid="{FBBE49DE-F51A-4A0E-B0F5-0715D2377174}" name="Наименование" dataDxfId="74"/>
    <tableColumn id="6" xr3:uid="{E6A3F076-9468-413D-A22D-A5DDE77328A5}" name="Количество" dataDxfId="73"/>
    <tableColumn id="7" xr3:uid="{A2367FF7-DC01-4D57-B6DC-C2C8D58AC390}" name="Шт. в поддоне" dataDxfId="72"/>
    <tableColumn id="8" xr3:uid="{D16721DF-2F10-42EC-BE75-D52CFBB47B6E}" name="Кол-во поддоном" dataDxfId="71">
      <calculatedColumnFormula>Линия8[[#This Row],[Количество]]/Линия8[[#This Row],[Шт. в поддоне]]</calculatedColumnFormula>
    </tableColumn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81B98F-CBAF-4228-9BA0-31403D9313C4}" name="Линия10" displayName="Линия10" ref="A2:H236" totalsRowShown="0" headerRowDxfId="70" dataDxfId="68" headerRowBorderDxfId="69" tableBorderDxfId="67" totalsRowBorderDxfId="66">
  <autoFilter ref="A2:H236" xr:uid="{19044BD8-5FD1-47EE-BED6-DC0DC03DA0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49349D4-C7CA-4F3B-9B4E-87E0282CC10C}" name="Дата начала" dataDxfId="65"/>
    <tableColumn id="2" xr3:uid="{D3F23F1D-267D-4927-8231-A001C278E6F7}" name="Дата окончания" dataDxfId="64">
      <calculatedColumnFormula>Линия10[[#This Row],[Дата начала]]+Линия10[[#This Row],[Длительность]]</calculatedColumnFormula>
    </tableColumn>
    <tableColumn id="3" xr3:uid="{504A44C7-BEEA-4452-B7B8-F4462D236CA6}" name="Длительность" dataDxfId="63">
      <calculatedColumnFormula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calculatedColumnFormula>
    </tableColumn>
    <tableColumn id="4" xr3:uid="{3E9D3211-363A-447E-AACF-CB92AF5478E2}" name="Скорость" dataDxfId="62"/>
    <tableColumn id="5" xr3:uid="{6DB76A75-0908-4EC0-B7BA-F6BBE997B188}" name="Наименование" dataDxfId="61"/>
    <tableColumn id="6" xr3:uid="{2C47D265-1859-4EDA-B791-DCF3AFCAB061}" name="Кол-во" dataDxfId="60"/>
    <tableColumn id="7" xr3:uid="{863B02C3-C62A-47E2-AC55-31E89E108EE8}" name="Шт. в поддоне" dataDxfId="59"/>
    <tableColumn id="8" xr3:uid="{63075B27-B77C-43E4-85F3-F591B9DC041F}" name="Кол-во поддоном" dataDxfId="58">
      <calculatedColumnFormula>IFERROR(Линия10[[#This Row],[Кол-во]]/Линия10[[#This Row],[Шт. в поддоне]], "")</calculatedColumnFormula>
    </tableColumn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EB9B781-A8AA-4DD5-B01A-B7D6E4697D84}" name="Линия11" displayName="Линия11" ref="A2:H39" totalsRowShown="0" headerRowDxfId="57" dataDxfId="55" headerRowBorderDxfId="56" tableBorderDxfId="54" totalsRowBorderDxfId="53">
  <autoFilter ref="A2:H39" xr:uid="{19044BD8-5FD1-47EE-BED6-DC0DC03DA0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E56C25-DE1F-4D4E-B722-D8983DFE3C35}" name="Дата начала" dataDxfId="52"/>
    <tableColumn id="2" xr3:uid="{5FE7CFE8-CA64-49DB-B727-BBE5B0D2D9E4}" name="Дата окончания" dataDxfId="51">
      <calculatedColumnFormula>Линия11[[#This Row],[Дата начала]]+Линия11[[#This Row],[Длительность]]</calculatedColumnFormula>
    </tableColumn>
    <tableColumn id="3" xr3:uid="{E4C4F7E4-C486-4CC3-B7C5-5144E3E00E2D}" name="Длительность" dataDxfId="50">
      <calculatedColumnFormula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calculatedColumnFormula>
    </tableColumn>
    <tableColumn id="4" xr3:uid="{32013CF6-4760-4CF6-BCCF-F8EAF9094BCB}" name="Скорость" dataDxfId="49"/>
    <tableColumn id="5" xr3:uid="{A85094EE-D03C-4FCE-9769-F37DEE51492B}" name="Наименование" dataDxfId="48"/>
    <tableColumn id="6" xr3:uid="{63894820-C396-4EE4-BCA8-6EE6CF22A045}" name="Кол-во" dataDxfId="47"/>
    <tableColumn id="7" xr3:uid="{F66FF906-C8CF-412D-A55E-2ABACBE6BD92}" name="Шт. в поддоне" dataDxfId="46"/>
    <tableColumn id="8" xr3:uid="{67AFE357-FE4A-42B3-9238-71A8A4FB0722}" name="Кол-во поддоном" dataDxfId="45">
      <calculatedColumnFormula>IFERROR(Линия11[[#This Row],[Кол-во]]/Линия11[[#This Row],[Шт. в поддоне]], "")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BA0FE3-4841-41A5-B6F9-337E18A6CA54}" name="Линия1118" displayName="Линия1118" ref="A2:H44" totalsRowShown="0" headerRowDxfId="44" dataDxfId="42" headerRowBorderDxfId="43" tableBorderDxfId="41" totalsRowBorderDxfId="40">
  <autoFilter ref="A2:H44" xr:uid="{19044BD8-5FD1-47EE-BED6-DC0DC03DA0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497D943-19DD-4D99-A9C4-1876DE5AA69B}" name="Дата начала" dataDxfId="39"/>
    <tableColumn id="2" xr3:uid="{2A98F0D0-14CE-4959-A268-D6806FAD6A81}" name="Дата окончания" dataDxfId="38">
      <calculatedColumnFormula>Линия1118[[#This Row],[Дата начала]]+Линия1118[[#This Row],[Длительность]]</calculatedColumnFormula>
    </tableColumn>
    <tableColumn id="3" xr3:uid="{8B31F718-56C1-4BE3-950F-34AAA92B7C8C}" name="Длительность" dataDxfId="37">
      <calculatedColumnFormula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calculatedColumnFormula>
    </tableColumn>
    <tableColumn id="4" xr3:uid="{45CFF184-5B7F-431D-873C-849A6CA1964B}" name="Скорость" dataDxfId="36"/>
    <tableColumn id="5" xr3:uid="{55B93FE4-DE07-4500-A33A-09D8B0653232}" name="Наименование" dataDxfId="35"/>
    <tableColumn id="6" xr3:uid="{7D46B485-6FA3-46BC-B4EA-B3EA3D74CBED}" name="Кол-во" dataDxfId="34"/>
    <tableColumn id="7" xr3:uid="{D5494BBC-64A0-4E68-9E1B-AC2DDC778E89}" name="Шт. в поддоне" dataDxfId="33"/>
    <tableColumn id="8" xr3:uid="{0E9780E1-F0FF-4729-8520-F8B18AD623FC}" name="Кол-во поддоном" dataDxfId="32">
      <calculatedColumnFormula>IFERROR(Линия1118[[#This Row],[Кол-во]]/Линия1118[[#This Row],[Шт. в поддоне]], "")</calculatedColumnFormula>
    </tableColumn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CD3199-32A7-40F6-A526-A144DE9D5B34}" name="Линия12" displayName="Линия12" ref="A2:H11" totalsRowShown="0" headerRowDxfId="31" dataDxfId="29" headerRowBorderDxfId="30" tableBorderDxfId="28" totalsRowBorderDxfId="27">
  <autoFilter ref="A2:H11" xr:uid="{19044BD8-5FD1-47EE-BED6-DC0DC03DA0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6E9EB5-DC4A-4E30-BD84-DFCA675D79CE}" name="Дата начала" dataDxfId="26"/>
    <tableColumn id="2" xr3:uid="{17B6465A-46F3-4AD3-8810-E3241800EBC6}" name="Дата конца" dataDxfId="25">
      <calculatedColumnFormula>Линия12[[#This Row],[Дата начала]]+Линия12[[#This Row],[Длительность]]</calculatedColumnFormula>
    </tableColumn>
    <tableColumn id="3" xr3:uid="{FD4210DD-172C-4BA4-A808-F03BCD0F303A}" name="Длительность" dataDxfId="24">
      <calculatedColumnFormula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calculatedColumnFormula>
    </tableColumn>
    <tableColumn id="4" xr3:uid="{D525901B-6D64-4691-97C4-9F013ECED1BA}" name="Скорость" dataDxfId="23"/>
    <tableColumn id="5" xr3:uid="{3BC3BAFE-2711-4C80-B846-768F958F9D0A}" name="Название продукта" dataDxfId="22"/>
    <tableColumn id="6" xr3:uid="{FA193D3E-C58A-4F07-9956-B7E2CC8A8E24}" name="Количество" dataDxfId="21"/>
    <tableColumn id="7" xr3:uid="{EC5D5E85-B998-43B7-A685-C40EAECA3D72}" name="Шт. в поддоне" dataDxfId="20"/>
    <tableColumn id="8" xr3:uid="{A81262D2-8334-48F9-ADF6-4AEEEADECF1E}" name="Кол-во поддоном" dataDxfId="19">
      <calculatedColumnFormula>IFERROR(Линия12[[#This Row],[Количество]]/Линия12[[#This Row],[Шт. в поддоне]], "")</calculatedColumnFormula>
    </tableColumn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E48739-1C3C-42C3-8A86-9C273BBBA12F}" name="Сводная_По_Людям" displayName="Сводная_По_Людям" ref="L1:AB24" totalsRowShown="0" headerRowDxfId="18" dataDxfId="17">
  <autoFilter ref="L1:AB24" xr:uid="{CE5E1D89-3E72-43DD-A33F-02A2B6241061}"/>
  <tableColumns count="17">
    <tableColumn id="1" xr3:uid="{0D4228A3-106E-4FF2-91E0-BB88397DF433}" name="Дата" dataDxfId="16"/>
    <tableColumn id="2" xr3:uid="{8B2A29BF-D16F-4CF1-B441-1CCE781FB705}" name="День недели" dataDxfId="15"/>
    <tableColumn id="3" xr3:uid="{88C2AA56-930F-4B57-BDE0-0874DAE32748}" name="Смена" dataDxfId="14"/>
    <tableColumn id="4" xr3:uid="{26D20A50-AA4F-479C-A3A6-FC972C4CC7B2}" name="Бригада" dataDxfId="13"/>
    <tableColumn id="5" xr3:uid="{E9BF7FF0-CCFF-44E2-9F73-66622BAEEC81}" name="Линия1" dataDxfId="12"/>
    <tableColumn id="6" xr3:uid="{777CB881-A4CD-48E2-B2C4-3D40FB7EC959}" name="Линия2" dataDxfId="11"/>
    <tableColumn id="7" xr3:uid="{DA78A9BB-1FB9-4D34-A0BB-EA8FBAACECB7}" name="Линия3" dataDxfId="10"/>
    <tableColumn id="8" xr3:uid="{86852406-F08C-46D7-960E-7AB7B2F950C2}" name="Линия4" dataDxfId="9"/>
    <tableColumn id="9" xr3:uid="{90078215-4D69-45E5-8C6A-4324B728C138}" name="Линия5" dataDxfId="8"/>
    <tableColumn id="10" xr3:uid="{1D2EBAA1-405B-46D7-B0FF-A73D9DA54ADF}" name="Линия6" dataDxfId="7"/>
    <tableColumn id="11" xr3:uid="{C0484A20-F64C-44E6-A414-2CD3E1C6BC1D}" name="Линия7" dataDxfId="6"/>
    <tableColumn id="12" xr3:uid="{112A4D9A-105C-43B2-BAEB-26A88AEE8A4B}" name="Линия9" dataDxfId="5"/>
    <tableColumn id="13" xr3:uid="{D1211342-A0C4-4D86-8F9B-05CE9D0C10CC}" name="Линия8" dataDxfId="4"/>
    <tableColumn id="14" xr3:uid="{96FFC804-CFD5-40AD-8F97-737EFE6D64C7}" name="Линия10" dataDxfId="3"/>
    <tableColumn id="15" xr3:uid="{6354623B-AB69-4531-B9B9-657D007FB15D}" name="Линия11" dataDxfId="2"/>
    <tableColumn id="16" xr3:uid="{E59D4EA9-B88A-4684-944E-75CC7F5B4F08}" name="Соусы" dataDxfId="1"/>
    <tableColumn id="17" xr3:uid="{BFB6A5AD-6417-4FF3-A2B5-A2699974475D}" name="Всего люде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65E1-07C2-41E7-BED5-96882C586CB2}">
  <sheetPr codeName="Лист12"/>
  <dimension ref="A1:AK52"/>
  <sheetViews>
    <sheetView topLeftCell="D18" zoomScale="70" zoomScaleNormal="70" workbookViewId="0">
      <selection activeCell="G41" sqref="G41"/>
    </sheetView>
  </sheetViews>
  <sheetFormatPr defaultRowHeight="13.8" x14ac:dyDescent="0.25"/>
  <cols>
    <col min="1" max="1" width="10.59765625" bestFit="1" customWidth="1"/>
    <col min="2" max="2" width="18.19921875" bestFit="1" customWidth="1"/>
    <col min="5" max="5" width="13.19921875" bestFit="1" customWidth="1"/>
    <col min="6" max="6" width="32.796875" customWidth="1"/>
    <col min="7" max="7" width="16.69921875" customWidth="1"/>
    <col min="8" max="8" width="14.59765625" customWidth="1"/>
    <col min="9" max="9" width="33.3984375" customWidth="1"/>
    <col min="10" max="10" width="20.796875" customWidth="1"/>
    <col min="11" max="11" width="15.59765625" customWidth="1"/>
    <col min="12" max="12" width="20.296875" customWidth="1"/>
    <col min="13" max="14" width="14.796875" customWidth="1"/>
    <col min="15" max="15" width="20.296875" customWidth="1"/>
    <col min="16" max="16" width="14.796875" customWidth="1"/>
    <col min="17" max="17" width="14.59765625" customWidth="1"/>
    <col min="18" max="18" width="21.3984375" customWidth="1"/>
    <col min="19" max="19" width="14.796875" customWidth="1"/>
  </cols>
  <sheetData>
    <row r="1" spans="1:19" x14ac:dyDescent="0.25">
      <c r="A1" s="1" t="s">
        <v>0</v>
      </c>
      <c r="B1" s="1" t="s">
        <v>1</v>
      </c>
      <c r="E1" s="2" t="s">
        <v>0</v>
      </c>
      <c r="F1" s="3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5" t="s">
        <v>15</v>
      </c>
    </row>
    <row r="2" spans="1:19" x14ac:dyDescent="0.25">
      <c r="A2" s="6" t="s">
        <v>16</v>
      </c>
      <c r="B2" s="6">
        <v>8</v>
      </c>
      <c r="E2" s="7" t="s">
        <v>17</v>
      </c>
      <c r="F2" s="8" t="s">
        <v>18</v>
      </c>
      <c r="G2" s="8">
        <v>1</v>
      </c>
      <c r="H2" s="8" t="s">
        <v>19</v>
      </c>
      <c r="I2" s="8" t="s">
        <v>20</v>
      </c>
      <c r="J2" s="8"/>
      <c r="K2" s="8" t="s">
        <v>21</v>
      </c>
      <c r="L2" s="8"/>
      <c r="M2" s="8"/>
      <c r="N2" s="8" t="s">
        <v>22</v>
      </c>
      <c r="O2" s="8"/>
      <c r="P2" s="8"/>
      <c r="Q2" s="8" t="s">
        <v>23</v>
      </c>
      <c r="R2" s="9"/>
      <c r="S2" s="9"/>
    </row>
    <row r="3" spans="1:19" x14ac:dyDescent="0.25">
      <c r="A3" s="6" t="s">
        <v>24</v>
      </c>
      <c r="B3" s="6">
        <v>8</v>
      </c>
      <c r="E3" s="7" t="s">
        <v>17</v>
      </c>
      <c r="F3" s="8" t="s">
        <v>25</v>
      </c>
      <c r="G3" s="8">
        <v>1</v>
      </c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9"/>
      <c r="S3" s="9"/>
    </row>
    <row r="4" spans="1:19" x14ac:dyDescent="0.25">
      <c r="A4" s="6" t="s">
        <v>30</v>
      </c>
      <c r="B4" s="6">
        <v>7</v>
      </c>
      <c r="E4" s="7" t="s">
        <v>17</v>
      </c>
      <c r="F4" s="8" t="s">
        <v>31</v>
      </c>
      <c r="G4" s="8">
        <v>1</v>
      </c>
      <c r="H4" s="8" t="s">
        <v>32</v>
      </c>
      <c r="I4" s="8"/>
      <c r="J4" s="8"/>
      <c r="K4" s="8" t="s">
        <v>33</v>
      </c>
      <c r="L4" s="8"/>
      <c r="M4" s="8"/>
      <c r="N4" s="8" t="s">
        <v>34</v>
      </c>
      <c r="O4" s="8"/>
      <c r="P4" s="8"/>
      <c r="Q4" s="8" t="s">
        <v>35</v>
      </c>
      <c r="R4" s="9"/>
      <c r="S4" s="9"/>
    </row>
    <row r="5" spans="1:19" x14ac:dyDescent="0.25">
      <c r="A5" s="6" t="s">
        <v>36</v>
      </c>
      <c r="B5" s="6">
        <v>8</v>
      </c>
      <c r="E5" s="7" t="s">
        <v>17</v>
      </c>
      <c r="F5" s="8" t="s">
        <v>37</v>
      </c>
      <c r="G5" s="8">
        <v>1</v>
      </c>
      <c r="H5" s="8" t="s">
        <v>38</v>
      </c>
      <c r="I5" s="8"/>
      <c r="J5" s="8"/>
      <c r="K5" s="8" t="s">
        <v>39</v>
      </c>
      <c r="L5" s="8"/>
      <c r="M5" s="8"/>
      <c r="N5" s="8" t="s">
        <v>40</v>
      </c>
      <c r="O5" s="8"/>
      <c r="P5" s="8"/>
      <c r="Q5" s="8" t="s">
        <v>41</v>
      </c>
      <c r="R5" s="9"/>
      <c r="S5" s="9"/>
    </row>
    <row r="6" spans="1:19" ht="27.6" x14ac:dyDescent="0.25">
      <c r="A6" s="6" t="s">
        <v>42</v>
      </c>
      <c r="B6" s="6">
        <v>10</v>
      </c>
      <c r="E6" s="7" t="s">
        <v>17</v>
      </c>
      <c r="F6" s="8" t="s">
        <v>43</v>
      </c>
      <c r="G6" s="8">
        <v>4</v>
      </c>
      <c r="H6" s="8" t="s">
        <v>44</v>
      </c>
      <c r="I6" s="8"/>
      <c r="J6" s="8"/>
      <c r="K6" s="8" t="s">
        <v>45</v>
      </c>
      <c r="L6" s="8"/>
      <c r="M6" s="8"/>
      <c r="N6" s="8"/>
      <c r="O6" s="8"/>
      <c r="P6" s="8"/>
      <c r="Q6" s="8" t="s">
        <v>46</v>
      </c>
      <c r="R6" s="9"/>
      <c r="S6" s="9"/>
    </row>
    <row r="7" spans="1:19" x14ac:dyDescent="0.25">
      <c r="A7" s="6" t="s">
        <v>47</v>
      </c>
      <c r="B7" s="6">
        <v>4</v>
      </c>
      <c r="E7" s="7" t="s">
        <v>48</v>
      </c>
      <c r="F7" s="8" t="s">
        <v>18</v>
      </c>
      <c r="G7" s="8">
        <v>1</v>
      </c>
      <c r="H7" s="8"/>
      <c r="I7" s="8"/>
      <c r="J7" s="8"/>
      <c r="K7" s="8" t="s">
        <v>49</v>
      </c>
      <c r="L7" s="8"/>
      <c r="M7" s="8"/>
      <c r="N7" s="8" t="s">
        <v>50</v>
      </c>
      <c r="O7" s="8"/>
      <c r="P7" s="8"/>
      <c r="Q7" s="8" t="s">
        <v>51</v>
      </c>
      <c r="R7" s="9"/>
      <c r="S7" s="9"/>
    </row>
    <row r="8" spans="1:19" x14ac:dyDescent="0.25">
      <c r="A8" s="6" t="s">
        <v>52</v>
      </c>
      <c r="B8" s="6">
        <v>4</v>
      </c>
      <c r="E8" s="7" t="s">
        <v>48</v>
      </c>
      <c r="F8" s="8" t="s">
        <v>37</v>
      </c>
      <c r="G8" s="8">
        <v>1</v>
      </c>
      <c r="H8" s="8"/>
      <c r="I8" s="8"/>
      <c r="J8" s="8"/>
      <c r="K8" s="8" t="s">
        <v>53</v>
      </c>
      <c r="L8" s="8"/>
      <c r="M8" s="8"/>
      <c r="N8" s="8" t="s">
        <v>54</v>
      </c>
      <c r="O8" s="8"/>
      <c r="P8" s="8"/>
      <c r="Q8" s="8"/>
      <c r="R8" s="9"/>
      <c r="S8" s="9"/>
    </row>
    <row r="9" spans="1:19" x14ac:dyDescent="0.25">
      <c r="A9" s="6" t="s">
        <v>55</v>
      </c>
      <c r="B9" s="6">
        <v>10</v>
      </c>
      <c r="E9" s="7" t="s">
        <v>48</v>
      </c>
      <c r="F9" s="8" t="s">
        <v>43</v>
      </c>
      <c r="G9" s="8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9"/>
    </row>
    <row r="10" spans="1:19" x14ac:dyDescent="0.25">
      <c r="A10" s="6" t="s">
        <v>48</v>
      </c>
      <c r="B10" s="6">
        <v>4</v>
      </c>
      <c r="E10" s="7" t="s">
        <v>48</v>
      </c>
      <c r="F10" s="8" t="s">
        <v>56</v>
      </c>
      <c r="G10" s="8">
        <v>1</v>
      </c>
      <c r="H10" s="8" t="s">
        <v>57</v>
      </c>
      <c r="I10" s="8"/>
      <c r="J10" s="8"/>
      <c r="K10" s="8" t="s">
        <v>58</v>
      </c>
      <c r="L10" s="8"/>
      <c r="M10" s="8"/>
      <c r="N10" s="8" t="s">
        <v>59</v>
      </c>
      <c r="O10" s="8"/>
      <c r="P10" s="8"/>
      <c r="Q10" s="8"/>
      <c r="R10" s="9"/>
      <c r="S10" s="9"/>
    </row>
    <row r="11" spans="1:19" x14ac:dyDescent="0.25">
      <c r="A11" s="6" t="s">
        <v>60</v>
      </c>
      <c r="B11" s="6">
        <v>8</v>
      </c>
      <c r="E11" s="7" t="s">
        <v>60</v>
      </c>
      <c r="F11" s="8" t="s">
        <v>18</v>
      </c>
      <c r="G11" s="8">
        <v>1</v>
      </c>
      <c r="H11" s="8"/>
      <c r="I11" s="8"/>
      <c r="J11" s="8"/>
      <c r="K11" s="8"/>
      <c r="L11" s="8"/>
      <c r="M11" s="8"/>
      <c r="N11" s="8"/>
      <c r="O11" s="8"/>
      <c r="P11" s="8"/>
      <c r="Q11" s="8" t="s">
        <v>61</v>
      </c>
      <c r="R11" s="9"/>
      <c r="S11" s="9"/>
    </row>
    <row r="12" spans="1:19" x14ac:dyDescent="0.25">
      <c r="A12" s="6" t="s">
        <v>62</v>
      </c>
      <c r="B12" s="6">
        <v>3</v>
      </c>
      <c r="E12" s="7" t="s">
        <v>60</v>
      </c>
      <c r="F12" s="8" t="s">
        <v>25</v>
      </c>
      <c r="G12" s="8">
        <v>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9"/>
    </row>
    <row r="13" spans="1:19" x14ac:dyDescent="0.25">
      <c r="A13" s="10" t="s">
        <v>63</v>
      </c>
      <c r="B13" s="10">
        <v>69</v>
      </c>
      <c r="E13" s="7" t="s">
        <v>60</v>
      </c>
      <c r="F13" s="8" t="s">
        <v>64</v>
      </c>
      <c r="G13" s="8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9"/>
    </row>
    <row r="14" spans="1:19" x14ac:dyDescent="0.25">
      <c r="E14" s="7" t="s">
        <v>60</v>
      </c>
      <c r="F14" s="8" t="s">
        <v>31</v>
      </c>
      <c r="G14" s="8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9"/>
    </row>
    <row r="15" spans="1:19" x14ac:dyDescent="0.25">
      <c r="E15" s="7" t="s">
        <v>60</v>
      </c>
      <c r="F15" s="8" t="s">
        <v>37</v>
      </c>
      <c r="G15" s="8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9"/>
    </row>
    <row r="16" spans="1:19" x14ac:dyDescent="0.25">
      <c r="E16" s="7" t="s">
        <v>60</v>
      </c>
      <c r="F16" s="8" t="s">
        <v>43</v>
      </c>
      <c r="G16" s="8">
        <v>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9"/>
    </row>
    <row r="17" spans="5:19" x14ac:dyDescent="0.25">
      <c r="E17" s="7" t="s">
        <v>65</v>
      </c>
      <c r="F17" s="8" t="s">
        <v>18</v>
      </c>
      <c r="G17" s="8">
        <v>1</v>
      </c>
      <c r="H17" s="8" t="s">
        <v>66</v>
      </c>
      <c r="I17" s="8"/>
      <c r="J17" s="8"/>
      <c r="K17" s="8" t="s">
        <v>67</v>
      </c>
      <c r="L17" s="8"/>
      <c r="M17" s="8"/>
      <c r="N17" s="8" t="s">
        <v>68</v>
      </c>
      <c r="O17" s="8"/>
      <c r="P17" s="8"/>
      <c r="Q17" s="8" t="s">
        <v>69</v>
      </c>
      <c r="R17" s="9"/>
      <c r="S17" s="9"/>
    </row>
    <row r="18" spans="5:19" x14ac:dyDescent="0.25">
      <c r="E18" s="7" t="s">
        <v>65</v>
      </c>
      <c r="F18" s="8" t="s">
        <v>25</v>
      </c>
      <c r="G18" s="8">
        <v>1</v>
      </c>
      <c r="H18" s="8" t="s">
        <v>70</v>
      </c>
      <c r="I18" s="8"/>
      <c r="J18" s="8"/>
      <c r="K18" s="8" t="s">
        <v>71</v>
      </c>
      <c r="L18" s="8"/>
      <c r="M18" s="8"/>
      <c r="N18" s="8" t="s">
        <v>72</v>
      </c>
      <c r="O18" s="8"/>
      <c r="P18" s="8"/>
      <c r="Q18" s="8" t="s">
        <v>73</v>
      </c>
      <c r="R18" s="9"/>
      <c r="S18" s="9"/>
    </row>
    <row r="19" spans="5:19" x14ac:dyDescent="0.25">
      <c r="E19" s="7" t="s">
        <v>65</v>
      </c>
      <c r="F19" s="8" t="s">
        <v>31</v>
      </c>
      <c r="G19" s="8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9"/>
    </row>
    <row r="20" spans="5:19" x14ac:dyDescent="0.25">
      <c r="E20" s="7" t="s">
        <v>65</v>
      </c>
      <c r="F20" s="8" t="s">
        <v>37</v>
      </c>
      <c r="G20" s="8">
        <v>1</v>
      </c>
      <c r="H20" s="8" t="s">
        <v>74</v>
      </c>
      <c r="I20" s="8"/>
      <c r="J20" s="8"/>
      <c r="K20" s="11" t="s">
        <v>75</v>
      </c>
      <c r="L20" s="8"/>
      <c r="M20" s="8"/>
      <c r="N20" s="8" t="s">
        <v>76</v>
      </c>
      <c r="O20" s="8"/>
      <c r="P20" s="8"/>
      <c r="Q20" s="8" t="s">
        <v>77</v>
      </c>
      <c r="R20" s="9"/>
      <c r="S20" s="9"/>
    </row>
    <row r="21" spans="5:19" ht="27.6" x14ac:dyDescent="0.25">
      <c r="E21" s="7" t="s">
        <v>65</v>
      </c>
      <c r="F21" s="8" t="s">
        <v>43</v>
      </c>
      <c r="G21" s="8">
        <v>4</v>
      </c>
      <c r="H21" s="8" t="s">
        <v>78</v>
      </c>
      <c r="I21" s="8"/>
      <c r="J21" s="8"/>
      <c r="K21" s="8" t="s">
        <v>79</v>
      </c>
      <c r="L21" s="8"/>
      <c r="M21" s="8"/>
      <c r="N21" s="8" t="s">
        <v>80</v>
      </c>
      <c r="O21" s="8"/>
      <c r="P21" s="8"/>
      <c r="Q21" s="8" t="s">
        <v>81</v>
      </c>
      <c r="R21" s="9"/>
      <c r="S21" s="9"/>
    </row>
    <row r="22" spans="5:19" x14ac:dyDescent="0.25">
      <c r="E22" s="7" t="s">
        <v>30</v>
      </c>
      <c r="F22" s="8" t="s">
        <v>18</v>
      </c>
      <c r="G22" s="8">
        <v>1</v>
      </c>
      <c r="H22" s="8" t="s">
        <v>82</v>
      </c>
      <c r="I22" s="8"/>
      <c r="J22" s="8"/>
      <c r="K22" s="8" t="s">
        <v>83</v>
      </c>
      <c r="L22" s="8"/>
      <c r="M22" s="8"/>
      <c r="N22" s="8"/>
      <c r="O22" s="8"/>
      <c r="P22" s="8"/>
      <c r="Q22" s="8" t="s">
        <v>84</v>
      </c>
      <c r="R22" s="9"/>
      <c r="S22" s="9"/>
    </row>
    <row r="23" spans="5:19" x14ac:dyDescent="0.25">
      <c r="E23" s="7" t="s">
        <v>30</v>
      </c>
      <c r="F23" s="8" t="s">
        <v>25</v>
      </c>
      <c r="G23" s="8">
        <v>1</v>
      </c>
      <c r="H23" s="8"/>
      <c r="I23" s="8"/>
      <c r="J23" s="8"/>
      <c r="K23" s="8" t="s">
        <v>85</v>
      </c>
      <c r="L23" s="8"/>
      <c r="M23" s="8"/>
      <c r="N23" s="8"/>
      <c r="O23" s="8"/>
      <c r="P23" s="8"/>
      <c r="Q23" s="8" t="s">
        <v>86</v>
      </c>
      <c r="R23" s="9"/>
      <c r="S23" s="9"/>
    </row>
    <row r="24" spans="5:19" x14ac:dyDescent="0.25">
      <c r="E24" s="7" t="s">
        <v>30</v>
      </c>
      <c r="F24" s="8" t="s">
        <v>31</v>
      </c>
      <c r="G24" s="8">
        <v>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9"/>
    </row>
    <row r="25" spans="5:19" x14ac:dyDescent="0.25">
      <c r="E25" s="7" t="s">
        <v>30</v>
      </c>
      <c r="F25" s="8" t="s">
        <v>37</v>
      </c>
      <c r="G25" s="8">
        <v>1</v>
      </c>
      <c r="H25" s="8" t="s">
        <v>87</v>
      </c>
      <c r="I25" s="8"/>
      <c r="J25" s="8"/>
      <c r="K25" s="8" t="s">
        <v>88</v>
      </c>
      <c r="L25" s="8"/>
      <c r="M25" s="8"/>
      <c r="N25" s="8" t="s">
        <v>89</v>
      </c>
      <c r="O25" s="8"/>
      <c r="P25" s="8"/>
      <c r="Q25" s="8" t="s">
        <v>90</v>
      </c>
      <c r="R25" s="9"/>
      <c r="S25" s="9"/>
    </row>
    <row r="26" spans="5:19" x14ac:dyDescent="0.25">
      <c r="E26" s="7" t="s">
        <v>30</v>
      </c>
      <c r="F26" s="8" t="s">
        <v>43</v>
      </c>
      <c r="G26" s="8">
        <v>3</v>
      </c>
      <c r="H26" s="8"/>
      <c r="I26" s="8"/>
      <c r="J26" s="8"/>
      <c r="K26" s="8" t="s">
        <v>91</v>
      </c>
      <c r="L26" s="8"/>
      <c r="M26" s="8"/>
      <c r="N26" s="8"/>
      <c r="O26" s="8"/>
      <c r="P26" s="8"/>
      <c r="Q26" s="8" t="s">
        <v>92</v>
      </c>
      <c r="R26" s="9"/>
      <c r="S26" s="9"/>
    </row>
    <row r="27" spans="5:19" x14ac:dyDescent="0.25">
      <c r="E27" s="7" t="s">
        <v>36</v>
      </c>
      <c r="F27" s="8" t="s">
        <v>18</v>
      </c>
      <c r="G27" s="8">
        <v>1</v>
      </c>
      <c r="H27" s="8" t="s">
        <v>93</v>
      </c>
      <c r="I27" s="8"/>
      <c r="J27" s="8"/>
      <c r="K27" s="8" t="s">
        <v>94</v>
      </c>
      <c r="L27" s="8"/>
      <c r="M27" s="8"/>
      <c r="N27" s="8" t="s">
        <v>95</v>
      </c>
      <c r="O27" s="8"/>
      <c r="P27" s="8"/>
      <c r="Q27" s="8" t="s">
        <v>96</v>
      </c>
      <c r="R27" s="9"/>
      <c r="S27" s="9"/>
    </row>
    <row r="28" spans="5:19" x14ac:dyDescent="0.25">
      <c r="E28" s="7" t="s">
        <v>36</v>
      </c>
      <c r="F28" s="8" t="s">
        <v>25</v>
      </c>
      <c r="G28" s="8">
        <v>1</v>
      </c>
      <c r="H28" s="8" t="s">
        <v>97</v>
      </c>
      <c r="I28" s="8" t="s">
        <v>98</v>
      </c>
      <c r="J28" s="8"/>
      <c r="K28" s="8" t="s">
        <v>99</v>
      </c>
      <c r="L28" s="8" t="s">
        <v>98</v>
      </c>
      <c r="M28" s="8"/>
      <c r="N28" s="8" t="s">
        <v>100</v>
      </c>
      <c r="O28" s="8" t="s">
        <v>98</v>
      </c>
      <c r="P28" s="8"/>
      <c r="Q28" s="8" t="s">
        <v>101</v>
      </c>
      <c r="R28" s="9" t="s">
        <v>98</v>
      </c>
      <c r="S28" s="9"/>
    </row>
    <row r="29" spans="5:19" x14ac:dyDescent="0.25">
      <c r="E29" s="7" t="s">
        <v>36</v>
      </c>
      <c r="F29" s="8" t="s">
        <v>31</v>
      </c>
      <c r="G29" s="8">
        <v>1</v>
      </c>
      <c r="H29" s="8" t="s">
        <v>102</v>
      </c>
      <c r="I29" s="8"/>
      <c r="J29" s="8"/>
      <c r="K29" s="8" t="s">
        <v>103</v>
      </c>
      <c r="L29" s="8"/>
      <c r="M29" s="8"/>
      <c r="N29" s="8" t="s">
        <v>104</v>
      </c>
      <c r="O29" s="8"/>
      <c r="P29" s="8"/>
      <c r="Q29" s="8" t="s">
        <v>105</v>
      </c>
      <c r="R29" s="9"/>
      <c r="S29" s="9"/>
    </row>
    <row r="30" spans="5:19" x14ac:dyDescent="0.25">
      <c r="E30" s="7" t="s">
        <v>36</v>
      </c>
      <c r="F30" s="8" t="s">
        <v>37</v>
      </c>
      <c r="G30" s="8">
        <v>1</v>
      </c>
      <c r="H30" s="8" t="s">
        <v>106</v>
      </c>
      <c r="I30" s="8"/>
      <c r="J30" s="8"/>
      <c r="K30" s="8" t="s">
        <v>107</v>
      </c>
      <c r="L30" s="8"/>
      <c r="M30" s="8"/>
      <c r="N30" s="8" t="s">
        <v>108</v>
      </c>
      <c r="O30" s="8"/>
      <c r="P30" s="8"/>
      <c r="Q30" s="8" t="s">
        <v>109</v>
      </c>
      <c r="R30" s="9"/>
      <c r="S30" s="9"/>
    </row>
    <row r="31" spans="5:19" x14ac:dyDescent="0.25">
      <c r="E31" s="7" t="s">
        <v>36</v>
      </c>
      <c r="F31" s="8" t="s">
        <v>43</v>
      </c>
      <c r="G31" s="8">
        <v>4</v>
      </c>
      <c r="H31" s="8" t="s">
        <v>110</v>
      </c>
      <c r="I31" s="8"/>
      <c r="J31" s="8"/>
      <c r="K31" s="8" t="s">
        <v>111</v>
      </c>
      <c r="L31" s="8"/>
      <c r="M31" s="8"/>
      <c r="N31" s="8" t="s">
        <v>112</v>
      </c>
      <c r="O31" s="8"/>
      <c r="P31" s="8"/>
      <c r="Q31" s="8"/>
      <c r="R31" s="9"/>
      <c r="S31" s="9"/>
    </row>
    <row r="32" spans="5:19" x14ac:dyDescent="0.25">
      <c r="E32" s="7" t="s">
        <v>42</v>
      </c>
      <c r="F32" s="8" t="s">
        <v>18</v>
      </c>
      <c r="G32" s="8">
        <v>1</v>
      </c>
      <c r="H32" s="8" t="s">
        <v>113</v>
      </c>
      <c r="I32" s="8"/>
      <c r="J32" s="8"/>
      <c r="K32" s="8"/>
      <c r="L32" s="8"/>
      <c r="M32" s="8"/>
      <c r="N32" s="8"/>
      <c r="O32" s="8"/>
      <c r="P32" s="8"/>
      <c r="Q32" s="8"/>
      <c r="R32" s="9"/>
      <c r="S32" s="9"/>
    </row>
    <row r="33" spans="5:37" x14ac:dyDescent="0.25">
      <c r="E33" s="7" t="s">
        <v>42</v>
      </c>
      <c r="F33" s="8" t="s">
        <v>31</v>
      </c>
      <c r="G33" s="8">
        <v>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9"/>
    </row>
    <row r="34" spans="5:37" x14ac:dyDescent="0.25">
      <c r="E34" s="7" t="s">
        <v>42</v>
      </c>
      <c r="F34" s="8" t="s">
        <v>43</v>
      </c>
      <c r="G34" s="8">
        <v>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9"/>
    </row>
    <row r="35" spans="5:37" x14ac:dyDescent="0.25">
      <c r="E35" s="7" t="s">
        <v>47</v>
      </c>
      <c r="F35" s="8" t="s">
        <v>18</v>
      </c>
      <c r="G35" s="8">
        <v>1</v>
      </c>
      <c r="H35" s="8" t="s">
        <v>114</v>
      </c>
      <c r="I35" s="8"/>
      <c r="J35" s="8"/>
      <c r="K35" s="8" t="s">
        <v>115</v>
      </c>
      <c r="L35" s="8"/>
      <c r="M35" s="8"/>
      <c r="N35" s="8"/>
      <c r="O35" s="8"/>
      <c r="P35" s="8"/>
      <c r="Q35" s="8" t="s">
        <v>116</v>
      </c>
      <c r="R35" s="9"/>
      <c r="S35" s="9"/>
    </row>
    <row r="36" spans="5:37" x14ac:dyDescent="0.25">
      <c r="E36" s="12" t="s">
        <v>47</v>
      </c>
      <c r="F36" s="13" t="s">
        <v>43</v>
      </c>
      <c r="G36" s="14">
        <v>3</v>
      </c>
      <c r="H36" s="8"/>
      <c r="I36" s="8"/>
      <c r="J36" s="8"/>
      <c r="K36" s="8"/>
      <c r="L36" s="8"/>
      <c r="M36" s="8"/>
      <c r="N36" s="8" t="s">
        <v>117</v>
      </c>
      <c r="O36" s="8"/>
      <c r="P36" s="8"/>
      <c r="Q36" s="8"/>
      <c r="R36" s="9"/>
      <c r="S36" s="9"/>
    </row>
    <row r="37" spans="5:37" x14ac:dyDescent="0.25">
      <c r="E37" s="12" t="s">
        <v>52</v>
      </c>
      <c r="F37" s="13" t="s">
        <v>31</v>
      </c>
      <c r="G37" s="8">
        <v>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  <c r="S37" s="9"/>
    </row>
    <row r="38" spans="5:37" x14ac:dyDescent="0.25">
      <c r="E38" s="12" t="s">
        <v>52</v>
      </c>
      <c r="F38" s="13" t="s">
        <v>43</v>
      </c>
      <c r="G38" s="13">
        <v>3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5"/>
      <c r="S38" s="15"/>
    </row>
    <row r="39" spans="5:37" x14ac:dyDescent="0.25">
      <c r="E39" s="12" t="s">
        <v>55</v>
      </c>
      <c r="F39" s="8" t="s">
        <v>18</v>
      </c>
      <c r="G39" s="8">
        <v>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  <c r="S39" s="9"/>
    </row>
    <row r="40" spans="5:37" x14ac:dyDescent="0.25">
      <c r="E40" s="12" t="s">
        <v>55</v>
      </c>
      <c r="F40" s="8" t="s">
        <v>43</v>
      </c>
      <c r="G40" s="8">
        <v>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9"/>
    </row>
    <row r="41" spans="5:37" x14ac:dyDescent="0.25">
      <c r="E41" s="12"/>
      <c r="F41" s="8" t="s">
        <v>118</v>
      </c>
      <c r="G41" s="16" t="s">
        <v>119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9"/>
    </row>
    <row r="42" spans="5:37" x14ac:dyDescent="0.25">
      <c r="E42" s="12"/>
      <c r="F42" s="8" t="s">
        <v>120</v>
      </c>
      <c r="G42" s="17" t="s">
        <v>121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9"/>
    </row>
    <row r="48" spans="5:37" ht="27.6" x14ac:dyDescent="0.25">
      <c r="W48" s="18" t="s">
        <v>122</v>
      </c>
      <c r="X48" s="19" t="s">
        <v>123</v>
      </c>
      <c r="Y48" s="20">
        <v>0</v>
      </c>
      <c r="Z48" s="20" t="s">
        <v>124</v>
      </c>
      <c r="AA48" s="20"/>
      <c r="AB48" s="20"/>
      <c r="AC48" s="20" t="s">
        <v>125</v>
      </c>
      <c r="AD48" s="20"/>
      <c r="AE48" s="20"/>
      <c r="AF48" s="20" t="s">
        <v>126</v>
      </c>
      <c r="AG48" s="20"/>
      <c r="AH48" s="20"/>
      <c r="AI48" s="20" t="s">
        <v>124</v>
      </c>
      <c r="AJ48" s="19"/>
      <c r="AK48" s="19"/>
    </row>
    <row r="49" spans="23:37" ht="55.2" x14ac:dyDescent="0.25">
      <c r="W49" s="21" t="s">
        <v>122</v>
      </c>
      <c r="X49" s="9" t="s">
        <v>127</v>
      </c>
      <c r="Y49" s="8">
        <v>2</v>
      </c>
      <c r="Z49" s="8" t="s">
        <v>128</v>
      </c>
      <c r="AA49" s="8"/>
      <c r="AB49" s="8"/>
      <c r="AC49" s="8" t="s">
        <v>129</v>
      </c>
      <c r="AD49" s="8"/>
      <c r="AE49" s="8"/>
      <c r="AF49" s="8" t="s">
        <v>130</v>
      </c>
      <c r="AG49" s="8"/>
      <c r="AH49" s="8"/>
      <c r="AI49" s="8" t="s">
        <v>131</v>
      </c>
      <c r="AJ49" s="9"/>
      <c r="AK49" s="9"/>
    </row>
    <row r="50" spans="23:37" ht="110.4" x14ac:dyDescent="0.25">
      <c r="W50" s="18" t="s">
        <v>122</v>
      </c>
      <c r="X50" s="19" t="s">
        <v>132</v>
      </c>
      <c r="Y50" s="20">
        <v>3</v>
      </c>
      <c r="Z50" s="20" t="s">
        <v>133</v>
      </c>
      <c r="AA50" s="20"/>
      <c r="AB50" s="20"/>
      <c r="AC50" s="20" t="s">
        <v>134</v>
      </c>
      <c r="AD50" s="20"/>
      <c r="AE50" s="20"/>
      <c r="AF50" s="20" t="s">
        <v>135</v>
      </c>
      <c r="AG50" s="20"/>
      <c r="AH50" s="20"/>
      <c r="AI50" s="20" t="s">
        <v>136</v>
      </c>
      <c r="AJ50" s="19"/>
      <c r="AK50" s="19"/>
    </row>
    <row r="51" spans="23:37" ht="55.2" x14ac:dyDescent="0.25">
      <c r="W51" s="21" t="s">
        <v>122</v>
      </c>
      <c r="X51" s="9" t="s">
        <v>137</v>
      </c>
      <c r="Y51" s="8">
        <v>0</v>
      </c>
      <c r="Z51" s="8" t="s">
        <v>124</v>
      </c>
      <c r="AA51" s="8"/>
      <c r="AB51" s="8"/>
      <c r="AC51" s="8" t="s">
        <v>124</v>
      </c>
      <c r="AD51" s="8"/>
      <c r="AE51" s="8"/>
      <c r="AF51" s="8" t="s">
        <v>138</v>
      </c>
      <c r="AG51" s="8"/>
      <c r="AH51" s="8"/>
      <c r="AI51" s="8" t="s">
        <v>124</v>
      </c>
      <c r="AJ51" s="9"/>
      <c r="AK51" s="9"/>
    </row>
    <row r="52" spans="23:37" ht="55.2" x14ac:dyDescent="0.25">
      <c r="W52" s="18" t="s">
        <v>122</v>
      </c>
      <c r="X52" s="19" t="s">
        <v>139</v>
      </c>
      <c r="Y52" s="20">
        <v>2</v>
      </c>
      <c r="Z52" s="20" t="s">
        <v>140</v>
      </c>
      <c r="AA52" s="20"/>
      <c r="AB52" s="20"/>
      <c r="AC52" s="20" t="s">
        <v>141</v>
      </c>
      <c r="AD52" s="20"/>
      <c r="AE52" s="20"/>
      <c r="AF52" s="20" t="s">
        <v>142</v>
      </c>
      <c r="AG52" s="20"/>
      <c r="AH52" s="20"/>
      <c r="AI52" s="20" t="s">
        <v>143</v>
      </c>
      <c r="AJ52" s="19"/>
      <c r="AK52" s="19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6DD7-164C-45B1-B9F1-8C847BE2F833}">
  <sheetPr codeName="Лист1"/>
  <dimension ref="A1:H13"/>
  <sheetViews>
    <sheetView zoomScaleNormal="100" workbookViewId="0">
      <selection activeCell="B41" sqref="B41"/>
    </sheetView>
  </sheetViews>
  <sheetFormatPr defaultRowHeight="13.8" x14ac:dyDescent="0.25"/>
  <cols>
    <col min="1" max="1" width="16.09765625" customWidth="1"/>
    <col min="2" max="2" width="15.8984375" customWidth="1"/>
    <col min="3" max="3" width="14.69921875" bestFit="1" customWidth="1"/>
    <col min="4" max="4" width="10.09765625" style="40" bestFit="1" customWidth="1"/>
    <col min="5" max="5" width="35.3984375" bestFit="1" customWidth="1"/>
    <col min="6" max="6" width="12.19921875" bestFit="1" customWidth="1"/>
    <col min="7" max="7" width="14.69921875" bestFit="1" customWidth="1"/>
    <col min="8" max="8" width="17.59765625" bestFit="1" customWidth="1"/>
    <col min="11" max="11" width="35.3984375" bestFit="1" customWidth="1"/>
    <col min="12" max="12" width="10.8984375" bestFit="1" customWidth="1"/>
  </cols>
  <sheetData>
    <row r="1" spans="1:8" ht="20.399999999999999" x14ac:dyDescent="0.35">
      <c r="A1" s="161" t="s">
        <v>144</v>
      </c>
      <c r="B1" s="161"/>
      <c r="C1" s="161"/>
      <c r="D1" s="161"/>
      <c r="E1" s="161"/>
      <c r="F1" s="161"/>
      <c r="G1" s="161"/>
      <c r="H1" s="161"/>
    </row>
    <row r="2" spans="1:8" x14ac:dyDescent="0.25">
      <c r="A2" s="22" t="s">
        <v>145</v>
      </c>
      <c r="B2" s="23" t="s">
        <v>146</v>
      </c>
      <c r="C2" s="24" t="s">
        <v>147</v>
      </c>
      <c r="D2" s="25" t="s">
        <v>148</v>
      </c>
      <c r="E2" s="25" t="s">
        <v>149</v>
      </c>
      <c r="F2" s="25" t="s">
        <v>150</v>
      </c>
      <c r="G2" s="25" t="s">
        <v>151</v>
      </c>
      <c r="H2" s="26" t="s">
        <v>152</v>
      </c>
    </row>
    <row r="3" spans="1:8" hidden="1" x14ac:dyDescent="0.25">
      <c r="A3" s="27"/>
      <c r="B3" s="27"/>
      <c r="C3" s="28">
        <f t="shared" ref="C3:C12" si="0">IF(E3="Вытеснение",TIME(0,30,0),
IF(E3="Передача смены",TIME(0,20,0),
IF(E3="Запуск",TIME(0,30,0),
IF(E3="Смена ассортимента",TIME(0,15,0),
IF(E3="Переналадка формата",TIME(1,0,0),
IF(E3="CIP 1",TIME(0,40,0),
IF(E3="CIP 2",TIME(4,0,0),
IF(E3="CIP 3",TIME(5,0,0),
IF(AND(ISNUMBER(F3),ISNUMBER(D3),D3&gt;0),F3/D3/24,"Ошибка")))))))))</f>
        <v>0.45833333333333331</v>
      </c>
      <c r="D3" s="29">
        <v>1000</v>
      </c>
      <c r="E3" s="29"/>
      <c r="F3" s="30">
        <v>11000</v>
      </c>
      <c r="G3" s="29">
        <v>300</v>
      </c>
      <c r="H3" s="31">
        <f>Линия1[[#This Row],[Количество]]/Линия1[[#This Row],[Шт. в поддоне]]</f>
        <v>36.666666666666664</v>
      </c>
    </row>
    <row r="4" spans="1:8" hidden="1" x14ac:dyDescent="0.25">
      <c r="A4" s="27">
        <f>'Линия 2'!B70</f>
        <v>46052.735042735047</v>
      </c>
      <c r="B4" s="27">
        <f>Линия1[[#This Row],[Дата начала]]+Линия1[[#This Row],[Длительность]]</f>
        <v>46052.901709401711</v>
      </c>
      <c r="C4" s="28">
        <f t="shared" si="0"/>
        <v>0.16666666666666666</v>
      </c>
      <c r="D4" s="32"/>
      <c r="E4" s="29" t="s">
        <v>153</v>
      </c>
      <c r="F4" s="29"/>
      <c r="G4" s="29"/>
      <c r="H4" s="31" t="str">
        <f>IFERROR(Линия1[[#This Row],[Количество]]/Линия1[[#This Row],[Шт. в поддоне]], "")</f>
        <v/>
      </c>
    </row>
    <row r="5" spans="1:8" hidden="1" x14ac:dyDescent="0.25">
      <c r="A5" s="27">
        <f t="shared" ref="A5:A12" si="1">B4</f>
        <v>46052.901709401711</v>
      </c>
      <c r="B5" s="27">
        <f>Линия1[[#This Row],[Дата начала]]+Линия1[[#This Row],[Длительность]]</f>
        <v>46053.360042735047</v>
      </c>
      <c r="C5" s="28">
        <f t="shared" si="0"/>
        <v>0.45833333333333331</v>
      </c>
      <c r="D5" s="29">
        <v>1000</v>
      </c>
      <c r="E5" s="29" t="s">
        <v>154</v>
      </c>
      <c r="F5" s="29">
        <v>11000</v>
      </c>
      <c r="G5" s="29">
        <v>300</v>
      </c>
      <c r="H5" s="31">
        <f>IFERROR(Линия1[[#This Row],[Количество]]/Линия1[[#This Row],[Шт. в поддоне]], "")</f>
        <v>36.666666666666664</v>
      </c>
    </row>
    <row r="6" spans="1:8" hidden="1" x14ac:dyDescent="0.25">
      <c r="A6" s="27">
        <f t="shared" si="1"/>
        <v>46053.360042735047</v>
      </c>
      <c r="B6" s="27">
        <f>Линия1[[#This Row],[Дата начала]]+Линия1[[#This Row],[Длительность]]</f>
        <v>46053.526709401711</v>
      </c>
      <c r="C6" s="28">
        <f t="shared" si="0"/>
        <v>0.16666666666666666</v>
      </c>
      <c r="D6" s="32"/>
      <c r="E6" s="29" t="s">
        <v>153</v>
      </c>
      <c r="F6" s="29"/>
      <c r="G6" s="29"/>
      <c r="H6" s="31" t="str">
        <f>IFERROR(Линия1[[#This Row],[Количество]]/Линия1[[#This Row],[Шт. в поддоне]], "")</f>
        <v/>
      </c>
    </row>
    <row r="7" spans="1:8" hidden="1" x14ac:dyDescent="0.25">
      <c r="A7" s="27">
        <f t="shared" si="1"/>
        <v>46053.526709401711</v>
      </c>
      <c r="B7" s="27">
        <f>Линия1[[#This Row],[Дата начала]]+Линия1[[#This Row],[Длительность]]</f>
        <v>46053.985042735047</v>
      </c>
      <c r="C7" s="28">
        <f t="shared" si="0"/>
        <v>0.45833333333333331</v>
      </c>
      <c r="D7" s="29">
        <v>1000</v>
      </c>
      <c r="E7" s="29" t="s">
        <v>155</v>
      </c>
      <c r="F7" s="29">
        <v>11000</v>
      </c>
      <c r="G7" s="29">
        <v>300</v>
      </c>
      <c r="H7" s="31">
        <f>IFERROR(Линия1[[#This Row],[Количество]]/Линия1[[#This Row],[Шт. в поддоне]], "")</f>
        <v>36.666666666666664</v>
      </c>
    </row>
    <row r="8" spans="1:8" hidden="1" x14ac:dyDescent="0.25">
      <c r="A8" s="27">
        <f t="shared" si="1"/>
        <v>46053.985042735047</v>
      </c>
      <c r="B8" s="27">
        <f>Линия1[[#This Row],[Дата начала]]+Линия1[[#This Row],[Длительность]]</f>
        <v>46054.151709401711</v>
      </c>
      <c r="C8" s="28">
        <f t="shared" si="0"/>
        <v>0.16666666666666666</v>
      </c>
      <c r="D8" s="32"/>
      <c r="E8" s="29" t="s">
        <v>153</v>
      </c>
      <c r="F8" s="29"/>
      <c r="G8" s="29"/>
      <c r="H8" s="31" t="str">
        <f>IFERROR(Линия1[[#This Row],[Количество]]/Линия1[[#This Row],[Шт. в поддоне]], "")</f>
        <v/>
      </c>
    </row>
    <row r="9" spans="1:8" hidden="1" x14ac:dyDescent="0.25">
      <c r="A9" s="27">
        <f t="shared" si="1"/>
        <v>46054.151709401711</v>
      </c>
      <c r="B9" s="27">
        <f>Линия1[[#This Row],[Дата начала]]+Линия1[[#This Row],[Длительность]]</f>
        <v>46054.610042735047</v>
      </c>
      <c r="C9" s="28">
        <f t="shared" si="0"/>
        <v>0.45833333333333331</v>
      </c>
      <c r="D9" s="29">
        <v>1000</v>
      </c>
      <c r="E9" s="29" t="s">
        <v>156</v>
      </c>
      <c r="F9" s="29">
        <v>11000</v>
      </c>
      <c r="G9" s="29">
        <v>300</v>
      </c>
      <c r="H9" s="31">
        <f>IFERROR(Линия1[[#This Row],[Количество]]/Линия1[[#This Row],[Шт. в поддоне]], "")</f>
        <v>36.666666666666664</v>
      </c>
    </row>
    <row r="10" spans="1:8" hidden="1" x14ac:dyDescent="0.25">
      <c r="A10" s="27">
        <f t="shared" si="1"/>
        <v>46054.610042735047</v>
      </c>
      <c r="B10" s="27">
        <f>Линия1[[#This Row],[Дата начала]]+Линия1[[#This Row],[Длительность]]</f>
        <v>46054.776709401711</v>
      </c>
      <c r="C10" s="28">
        <f t="shared" si="0"/>
        <v>0.16666666666666666</v>
      </c>
      <c r="D10" s="32"/>
      <c r="E10" s="29" t="s">
        <v>153</v>
      </c>
      <c r="F10" s="29"/>
      <c r="G10" s="29"/>
      <c r="H10" s="31" t="str">
        <f>IFERROR(Линия1[[#This Row],[Количество]]/Линия1[[#This Row],[Шт. в поддоне]], "")</f>
        <v/>
      </c>
    </row>
    <row r="11" spans="1:8" hidden="1" x14ac:dyDescent="0.25">
      <c r="A11" s="27">
        <f t="shared" si="1"/>
        <v>46054.776709401711</v>
      </c>
      <c r="B11" s="27">
        <f>Линия1[[#This Row],[Дата начала]]+Линия1[[#This Row],[Длительность]]</f>
        <v>46055.235042735047</v>
      </c>
      <c r="C11" s="33">
        <f t="shared" si="0"/>
        <v>0.45833333333333331</v>
      </c>
      <c r="D11" s="29">
        <v>1000</v>
      </c>
      <c r="E11" s="34" t="s">
        <v>157</v>
      </c>
      <c r="F11" s="34">
        <v>11000</v>
      </c>
      <c r="G11" s="29">
        <v>300</v>
      </c>
      <c r="H11" s="31">
        <f>IFERROR(Линия1[[#This Row],[Количество]]/Линия1[[#This Row],[Шт. в поддоне]], "")</f>
        <v>36.666666666666664</v>
      </c>
    </row>
    <row r="12" spans="1:8" hidden="1" x14ac:dyDescent="0.25">
      <c r="A12" s="27">
        <f t="shared" si="1"/>
        <v>46055.235042735047</v>
      </c>
      <c r="B12" s="27">
        <f>Линия1[[#This Row],[Дата начала]]+Линия1[[#This Row],[Длительность]]</f>
        <v>46055.443376068382</v>
      </c>
      <c r="C12" s="33">
        <f t="shared" si="0"/>
        <v>0.20833333333333334</v>
      </c>
      <c r="D12" s="32"/>
      <c r="E12" s="29" t="s">
        <v>158</v>
      </c>
      <c r="F12" s="29"/>
      <c r="G12" s="29"/>
      <c r="H12" s="31" t="str">
        <f>IFERROR(Линия1[[#This Row],[Количество]]/Линия1[[#This Row],[Шт. в поддоне]], "")</f>
        <v/>
      </c>
    </row>
    <row r="13" spans="1:8" hidden="1" x14ac:dyDescent="0.25">
      <c r="A13" s="35"/>
      <c r="B13" s="35"/>
      <c r="C13" s="36"/>
      <c r="D13" s="37"/>
      <c r="E13" s="35" t="s">
        <v>159</v>
      </c>
      <c r="F13" s="38"/>
      <c r="G13" s="38"/>
      <c r="H13" s="39"/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9316-ABC8-4982-943F-EB8EBCC8B6FF}">
  <sheetPr codeName="Лист2"/>
  <dimension ref="A1:H122"/>
  <sheetViews>
    <sheetView zoomScale="85" zoomScaleNormal="85" workbookViewId="0">
      <selection activeCell="C128" sqref="C128"/>
    </sheetView>
  </sheetViews>
  <sheetFormatPr defaultRowHeight="13.8" x14ac:dyDescent="0.25"/>
  <cols>
    <col min="1" max="2" width="15.59765625" style="61" bestFit="1" customWidth="1"/>
    <col min="3" max="3" width="13.8984375" style="62" bestFit="1" customWidth="1"/>
    <col min="4" max="4" width="9.59765625" bestFit="1" customWidth="1"/>
    <col min="5" max="5" width="50.19921875" customWidth="1"/>
    <col min="6" max="6" width="11.69921875" style="64" bestFit="1" customWidth="1"/>
    <col min="7" max="7" width="14.5" bestFit="1" customWidth="1"/>
    <col min="8" max="8" width="16.59765625" style="63" bestFit="1" customWidth="1"/>
    <col min="9" max="9" width="28.5" bestFit="1" customWidth="1"/>
    <col min="10" max="10" width="27.59765625" customWidth="1"/>
    <col min="12" max="12" width="15.69921875" customWidth="1"/>
  </cols>
  <sheetData>
    <row r="1" spans="1:8" ht="20.399999999999999" x14ac:dyDescent="0.35">
      <c r="A1" s="161" t="s">
        <v>160</v>
      </c>
      <c r="B1" s="161"/>
      <c r="C1" s="161"/>
      <c r="D1" s="161"/>
      <c r="E1" s="161"/>
      <c r="F1" s="161"/>
      <c r="G1" s="161"/>
      <c r="H1" s="161"/>
    </row>
    <row r="2" spans="1:8" x14ac:dyDescent="0.25">
      <c r="A2" s="41" t="s">
        <v>145</v>
      </c>
      <c r="B2" s="42" t="s">
        <v>146</v>
      </c>
      <c r="C2" s="43" t="s">
        <v>147</v>
      </c>
      <c r="D2" s="25" t="s">
        <v>148</v>
      </c>
      <c r="E2" s="25" t="s">
        <v>149</v>
      </c>
      <c r="F2" s="25" t="s">
        <v>150</v>
      </c>
      <c r="G2" s="25" t="s">
        <v>151</v>
      </c>
      <c r="H2" s="26" t="s">
        <v>152</v>
      </c>
    </row>
    <row r="3" spans="1:8" hidden="1" x14ac:dyDescent="0.25">
      <c r="A3" s="44" t="e">
        <f>#REF!</f>
        <v>#REF!</v>
      </c>
      <c r="B3" s="45" t="e">
        <f>Линия2[[#This Row],[Дата начала]]+Линия2[[#This Row],[Длительность]]</f>
        <v>#REF!</v>
      </c>
      <c r="C3" s="28" t="str">
        <f t="shared" ref="C3:C31" si="0">IF(E3="Вытеснение",TIME(0,30,0),
IF(E3="Передача смены",TIME(0,20,0),
IF(E3="Запуск",TIME(0,30,0),
IF(E3="Смена ассортимента",TIME(0,15,0),
IF(E3="Переналадка формата",TIME(5,0,0),
IF(E3="CIP 1",TIME(0,40,0),
IF(E3="CIP 2",TIME(2,30,0),
IF(E3="CIP 3",TIME(3,20,0),
IF(AND(ISNUMBER(F3),ISNUMBER(D3),D3&gt;0),F3/D3/24,"Ошибка")))))))))</f>
        <v>Ошибка</v>
      </c>
      <c r="D3" s="29"/>
      <c r="E3" s="29"/>
      <c r="F3" s="29"/>
      <c r="G3" s="34"/>
      <c r="H3" s="46"/>
    </row>
    <row r="4" spans="1:8" hidden="1" x14ac:dyDescent="0.25">
      <c r="A4" s="44">
        <f>'Линия 4'!B28</f>
        <v>0</v>
      </c>
      <c r="B4" s="47">
        <f>Линия2[[#This Row],[Дата начала]]+Линия2[[#This Row],[Длительность]]</f>
        <v>0.10416666666666667</v>
      </c>
      <c r="C4" s="28">
        <f t="shared" si="0"/>
        <v>0.10416666666666667</v>
      </c>
      <c r="D4" s="29"/>
      <c r="E4" s="29" t="s">
        <v>153</v>
      </c>
      <c r="F4" s="29"/>
      <c r="G4" s="31"/>
      <c r="H4" s="48" t="str">
        <f>IFERROR(Линия2[[#This Row],[Количество]]/Линия2[[#This Row],[Шт. в поддоне]], "")</f>
        <v/>
      </c>
    </row>
    <row r="5" spans="1:8" hidden="1" x14ac:dyDescent="0.25">
      <c r="A5" s="44">
        <f t="shared" ref="A5:A13" si="1">B4</f>
        <v>0.10416666666666667</v>
      </c>
      <c r="B5" s="47">
        <f>Линия2[[#This Row],[Дата начала]]+Линия2[[#This Row],[Длительность]]</f>
        <v>0.61698717948717952</v>
      </c>
      <c r="C5" s="28">
        <f t="shared" si="0"/>
        <v>0.51282051282051289</v>
      </c>
      <c r="D5" s="29">
        <v>6500</v>
      </c>
      <c r="E5" s="29" t="s">
        <v>161</v>
      </c>
      <c r="F5" s="49">
        <v>80000</v>
      </c>
      <c r="G5" s="29">
        <v>1728</v>
      </c>
      <c r="H5" s="48">
        <f>IFERROR(Линия2[[#This Row],[Количество]]/Линия2[[#This Row],[Шт. в поддоне]], "")</f>
        <v>46.296296296296298</v>
      </c>
    </row>
    <row r="6" spans="1:8" hidden="1" x14ac:dyDescent="0.25">
      <c r="A6" s="44">
        <f t="shared" si="1"/>
        <v>0.61698717948717952</v>
      </c>
      <c r="B6" s="47">
        <f>Линия2[[#This Row],[Дата начала]]+Линия2[[#This Row],[Длительность]]</f>
        <v>0.63782051282051289</v>
      </c>
      <c r="C6" s="28">
        <f t="shared" si="0"/>
        <v>2.0833333333333332E-2</v>
      </c>
      <c r="D6" s="29"/>
      <c r="E6" s="29" t="s">
        <v>162</v>
      </c>
      <c r="F6" s="49"/>
      <c r="G6" s="29"/>
      <c r="H6" s="48" t="str">
        <f>IFERROR(Линия2[[#This Row],[Количество]]/Линия2[[#This Row],[Шт. в поддоне]], "")</f>
        <v/>
      </c>
    </row>
    <row r="7" spans="1:8" hidden="1" x14ac:dyDescent="0.25">
      <c r="A7" s="44">
        <f t="shared" si="1"/>
        <v>0.63782051282051289</v>
      </c>
      <c r="B7" s="47">
        <f>Линия2[[#This Row],[Дата начала]]+Линия2[[#This Row],[Длительность]]</f>
        <v>0.65865384615384626</v>
      </c>
      <c r="C7" s="28">
        <f t="shared" si="0"/>
        <v>2.0833333333333332E-2</v>
      </c>
      <c r="D7" s="29"/>
      <c r="E7" s="29" t="s">
        <v>163</v>
      </c>
      <c r="F7" s="49"/>
      <c r="G7" s="29"/>
      <c r="H7" s="48" t="str">
        <f>IFERROR(Линия2[[#This Row],[Количество]]/Линия2[[#This Row],[Шт. в поддоне]], "")</f>
        <v/>
      </c>
    </row>
    <row r="8" spans="1:8" hidden="1" x14ac:dyDescent="0.25">
      <c r="A8" s="44">
        <v>45998.145833333336</v>
      </c>
      <c r="B8" s="47">
        <f>Линия2[[#This Row],[Дата начала]]+Линия2[[#This Row],[Длительность]]</f>
        <v>46001.222756410258</v>
      </c>
      <c r="C8" s="28">
        <f t="shared" si="0"/>
        <v>3.0769230769230766</v>
      </c>
      <c r="D8" s="29">
        <v>6500</v>
      </c>
      <c r="E8" s="29" t="s">
        <v>164</v>
      </c>
      <c r="F8" s="49">
        <v>480000</v>
      </c>
      <c r="G8" s="29">
        <v>1728</v>
      </c>
      <c r="H8" s="48">
        <f>IFERROR(Линия2[[#This Row],[Количество]]/Линия2[[#This Row],[Шт. в поддоне]], "")</f>
        <v>277.77777777777777</v>
      </c>
    </row>
    <row r="9" spans="1:8" hidden="1" x14ac:dyDescent="0.25">
      <c r="A9" s="44">
        <f t="shared" si="1"/>
        <v>46001.222756410258</v>
      </c>
      <c r="B9" s="47">
        <f>Линия2[[#This Row],[Дата начала]]+Линия2[[#This Row],[Длительность]]</f>
        <v>46001.361645299148</v>
      </c>
      <c r="C9" s="28">
        <f t="shared" si="0"/>
        <v>0.1388888888888889</v>
      </c>
      <c r="D9" s="29"/>
      <c r="E9" s="29" t="s">
        <v>158</v>
      </c>
      <c r="F9" s="49"/>
      <c r="G9" s="31"/>
      <c r="H9" s="48" t="str">
        <f>IFERROR(Линия2[[#This Row],[Количество]]/Линия2[[#This Row],[Шт. в поддоне]], "")</f>
        <v/>
      </c>
    </row>
    <row r="10" spans="1:8" hidden="1" x14ac:dyDescent="0.25">
      <c r="A10" s="44">
        <f t="shared" si="1"/>
        <v>46001.361645299148</v>
      </c>
      <c r="B10" s="47">
        <f>Линия2[[#This Row],[Дата начала]]+Линия2[[#This Row],[Длительность]]</f>
        <v>46001.382478632484</v>
      </c>
      <c r="C10" s="28">
        <f t="shared" si="0"/>
        <v>2.0833333333333332E-2</v>
      </c>
      <c r="D10" s="29"/>
      <c r="E10" s="29" t="s">
        <v>163</v>
      </c>
      <c r="F10" s="49"/>
      <c r="G10" s="29"/>
      <c r="H10" s="48" t="str">
        <f>IFERROR(Линия2[[#This Row],[Количество]]/Линия2[[#This Row],[Шт. в поддоне]], "")</f>
        <v/>
      </c>
    </row>
    <row r="11" spans="1:8" hidden="1" x14ac:dyDescent="0.25">
      <c r="A11" s="44">
        <v>46001.583333333336</v>
      </c>
      <c r="B11" s="47">
        <f>Линия2[[#This Row],[Дата начала]]+Линия2[[#This Row],[Длительность]]</f>
        <v>46002.608974358976</v>
      </c>
      <c r="C11" s="28">
        <f t="shared" si="0"/>
        <v>1.0256410256410258</v>
      </c>
      <c r="D11" s="29">
        <v>6500</v>
      </c>
      <c r="E11" s="29" t="s">
        <v>165</v>
      </c>
      <c r="F11" s="49">
        <v>160000</v>
      </c>
      <c r="G11" s="29">
        <v>1728</v>
      </c>
      <c r="H11" s="48">
        <f>IFERROR(Линия2[[#This Row],[Количество]]/Линия2[[#This Row],[Шт. в поддоне]], "")</f>
        <v>92.592592592592595</v>
      </c>
    </row>
    <row r="12" spans="1:8" hidden="1" x14ac:dyDescent="0.25">
      <c r="A12" s="44">
        <f t="shared" si="1"/>
        <v>46002.608974358976</v>
      </c>
      <c r="B12" s="47">
        <f>Линия2[[#This Row],[Дата начала]]+Линия2[[#This Row],[Длительность]]</f>
        <v>46002.713141025641</v>
      </c>
      <c r="C12" s="28">
        <f t="shared" si="0"/>
        <v>0.10416666666666667</v>
      </c>
      <c r="D12" s="29"/>
      <c r="E12" s="29" t="s">
        <v>153</v>
      </c>
      <c r="F12" s="49"/>
      <c r="G12" s="29"/>
      <c r="H12" s="48" t="str">
        <f>IFERROR(Линия2[[#This Row],[Количество]]/Линия2[[#This Row],[Шт. в поддоне]], "")</f>
        <v/>
      </c>
    </row>
    <row r="13" spans="1:8" hidden="1" x14ac:dyDescent="0.25">
      <c r="A13" s="44">
        <f t="shared" si="1"/>
        <v>46002.713141025641</v>
      </c>
      <c r="B13" s="47">
        <f>Линия2[[#This Row],[Дата начала]]+Линия2[[#This Row],[Длительность]]</f>
        <v>46002.733974358976</v>
      </c>
      <c r="C13" s="28">
        <f t="shared" si="0"/>
        <v>2.0833333333333332E-2</v>
      </c>
      <c r="D13" s="29"/>
      <c r="E13" s="29" t="s">
        <v>163</v>
      </c>
      <c r="F13" s="49"/>
      <c r="G13" s="29"/>
      <c r="H13" s="48" t="str">
        <f>IFERROR(Линия2[[#This Row],[Количество]]/Линия2[[#This Row],[Шт. в поддоне]], "")</f>
        <v/>
      </c>
    </row>
    <row r="14" spans="1:8" hidden="1" x14ac:dyDescent="0.25">
      <c r="A14" s="44">
        <v>46002.958333333336</v>
      </c>
      <c r="B14" s="47">
        <f>Линия2[[#This Row],[Дата начала]]+Линия2[[#This Row],[Длительность]]</f>
        <v>46004.24038461539</v>
      </c>
      <c r="C14" s="28">
        <f t="shared" si="0"/>
        <v>1.2820512820512822</v>
      </c>
      <c r="D14" s="29">
        <v>6500</v>
      </c>
      <c r="E14" s="29" t="s">
        <v>166</v>
      </c>
      <c r="F14" s="49">
        <v>200000</v>
      </c>
      <c r="G14" s="29">
        <v>1728</v>
      </c>
      <c r="H14" s="48">
        <f>IFERROR(Линия2[[#This Row],[Количество]]/Линия2[[#This Row],[Шт. в поддоне]], "")</f>
        <v>115.74074074074075</v>
      </c>
    </row>
    <row r="15" spans="1:8" hidden="1" x14ac:dyDescent="0.25">
      <c r="A15" s="44">
        <f t="shared" ref="A15:A19" si="2">B14</f>
        <v>46004.24038461539</v>
      </c>
      <c r="B15" s="47">
        <f>Линия2[[#This Row],[Дата начала]]+Линия2[[#This Row],[Длительность]]</f>
        <v>46004.344551282054</v>
      </c>
      <c r="C15" s="28">
        <f t="shared" si="0"/>
        <v>0.10416666666666667</v>
      </c>
      <c r="D15" s="29"/>
      <c r="E15" s="29" t="s">
        <v>153</v>
      </c>
      <c r="F15" s="49"/>
      <c r="G15" s="29"/>
      <c r="H15" s="48" t="str">
        <f>IFERROR(Линия2[[#This Row],[Количество]]/Линия2[[#This Row],[Шт. в поддоне]], "")</f>
        <v/>
      </c>
    </row>
    <row r="16" spans="1:8" hidden="1" x14ac:dyDescent="0.25">
      <c r="A16" s="44">
        <f t="shared" si="2"/>
        <v>46004.344551282054</v>
      </c>
      <c r="B16" s="47">
        <f>Линия2[[#This Row],[Дата начала]]+Линия2[[#This Row],[Длительность]]</f>
        <v>46004.36538461539</v>
      </c>
      <c r="C16" s="28">
        <f t="shared" si="0"/>
        <v>2.0833333333333332E-2</v>
      </c>
      <c r="D16" s="29"/>
      <c r="E16" s="29" t="s">
        <v>163</v>
      </c>
      <c r="F16" s="49"/>
      <c r="G16" s="29"/>
      <c r="H16" s="48" t="str">
        <f>IFERROR(Линия2[[#This Row],[Количество]]/Линия2[[#This Row],[Шт. в поддоне]], "")</f>
        <v/>
      </c>
    </row>
    <row r="17" spans="1:8" hidden="1" x14ac:dyDescent="0.25">
      <c r="A17" s="44">
        <f t="shared" si="2"/>
        <v>46004.36538461539</v>
      </c>
      <c r="B17" s="47">
        <f>Линия2[[#This Row],[Дата начала]]+Линия2[[#This Row],[Длительность]]</f>
        <v>46005.647435897445</v>
      </c>
      <c r="C17" s="28">
        <f t="shared" si="0"/>
        <v>1.2820512820512822</v>
      </c>
      <c r="D17" s="29">
        <v>6500</v>
      </c>
      <c r="E17" s="29" t="s">
        <v>167</v>
      </c>
      <c r="F17" s="49">
        <v>200000</v>
      </c>
      <c r="G17" s="29">
        <v>1728</v>
      </c>
      <c r="H17" s="48">
        <f>IFERROR(Линия2[[#This Row],[Количество]]/Линия2[[#This Row],[Шт. в поддоне]], "")</f>
        <v>115.74074074074075</v>
      </c>
    </row>
    <row r="18" spans="1:8" hidden="1" x14ac:dyDescent="0.25">
      <c r="A18" s="44">
        <f t="shared" si="2"/>
        <v>46005.647435897445</v>
      </c>
      <c r="B18" s="47">
        <f>Линия2[[#This Row],[Дата начала]]+Линия2[[#This Row],[Длительность]]</f>
        <v>46005.786324786335</v>
      </c>
      <c r="C18" s="28">
        <f t="shared" si="0"/>
        <v>0.1388888888888889</v>
      </c>
      <c r="D18" s="34"/>
      <c r="E18" s="34" t="s">
        <v>158</v>
      </c>
      <c r="F18" s="50"/>
      <c r="G18" s="34"/>
      <c r="H18" s="48" t="str">
        <f>IFERROR(Линия2[[#This Row],[Количество]]/Линия2[[#This Row],[Шт. в поддоне]], "")</f>
        <v/>
      </c>
    </row>
    <row r="19" spans="1:8" hidden="1" x14ac:dyDescent="0.25">
      <c r="A19" s="44">
        <f t="shared" si="2"/>
        <v>46005.786324786335</v>
      </c>
      <c r="B19" s="47">
        <f>Линия2[[#This Row],[Дата начала]]+Линия2[[#This Row],[Длительность]]</f>
        <v>46005.807158119671</v>
      </c>
      <c r="C19" s="28">
        <f t="shared" si="0"/>
        <v>2.0833333333333332E-2</v>
      </c>
      <c r="D19" s="29"/>
      <c r="E19" s="29" t="s">
        <v>163</v>
      </c>
      <c r="F19" s="49"/>
      <c r="G19" s="29"/>
      <c r="H19" s="48" t="str">
        <f>IFERROR(Линия2[[#This Row],[Количество]]/Линия2[[#This Row],[Шт. в поддоне]], "")</f>
        <v/>
      </c>
    </row>
    <row r="20" spans="1:8" hidden="1" x14ac:dyDescent="0.25">
      <c r="A20" s="44">
        <v>46006.094444444447</v>
      </c>
      <c r="B20" s="47">
        <f>Линия2[[#This Row],[Дата начала]]+Линия2[[#This Row],[Длительность]]</f>
        <v>46009.299572649572</v>
      </c>
      <c r="C20" s="28">
        <f t="shared" si="0"/>
        <v>3.2051282051282048</v>
      </c>
      <c r="D20" s="29">
        <v>6500</v>
      </c>
      <c r="E20" s="29" t="s">
        <v>168</v>
      </c>
      <c r="F20" s="49">
        <v>500000</v>
      </c>
      <c r="G20" s="29">
        <v>1728</v>
      </c>
      <c r="H20" s="48">
        <f>IFERROR(Линия2[[#This Row],[Количество]]/Линия2[[#This Row],[Шт. в поддоне]], "")</f>
        <v>289.35185185185185</v>
      </c>
    </row>
    <row r="21" spans="1:8" hidden="1" x14ac:dyDescent="0.25">
      <c r="A21" s="44">
        <f>B20</f>
        <v>46009.299572649572</v>
      </c>
      <c r="B21" s="47">
        <f>Линия2[[#This Row],[Дата начала]]+Линия2[[#This Row],[Длительность]]</f>
        <v>46009.438461538462</v>
      </c>
      <c r="C21" s="28">
        <f t="shared" si="0"/>
        <v>0.1388888888888889</v>
      </c>
      <c r="D21" s="29"/>
      <c r="E21" s="29" t="s">
        <v>158</v>
      </c>
      <c r="F21" s="49"/>
      <c r="G21" s="29"/>
      <c r="H21" s="48" t="str">
        <f>IFERROR(Линия2[[#This Row],[Количество]]/Линия2[[#This Row],[Шт. в поддоне]], "")</f>
        <v/>
      </c>
    </row>
    <row r="22" spans="1:8" hidden="1" x14ac:dyDescent="0.25">
      <c r="A22" s="44">
        <f t="shared" ref="A22:A24" si="3">B21</f>
        <v>46009.438461538462</v>
      </c>
      <c r="B22" s="47">
        <f>Линия2[[#This Row],[Дата начала]]+Линия2[[#This Row],[Длительность]]</f>
        <v>46009.459294871798</v>
      </c>
      <c r="C22" s="28">
        <f t="shared" si="0"/>
        <v>2.0833333333333332E-2</v>
      </c>
      <c r="D22" s="29"/>
      <c r="E22" s="29" t="s">
        <v>163</v>
      </c>
      <c r="F22" s="49"/>
      <c r="G22" s="29"/>
      <c r="H22" s="48" t="str">
        <f>IFERROR(Линия2[[#This Row],[Количество]]/Линия2[[#This Row],[Шт. в поддоне]], "")</f>
        <v/>
      </c>
    </row>
    <row r="23" spans="1:8" hidden="1" x14ac:dyDescent="0.25">
      <c r="A23" s="44">
        <f t="shared" si="3"/>
        <v>46009.459294871798</v>
      </c>
      <c r="B23" s="47">
        <f>Линия2[[#This Row],[Дата начала]]+Линия2[[#This Row],[Длительность]]</f>
        <v>46012.664423076923</v>
      </c>
      <c r="C23" s="28">
        <f t="shared" si="0"/>
        <v>3.2051282051282048</v>
      </c>
      <c r="D23" s="29">
        <v>6500</v>
      </c>
      <c r="E23" s="29" t="s">
        <v>168</v>
      </c>
      <c r="F23" s="49">
        <v>500000</v>
      </c>
      <c r="G23" s="29">
        <v>1728</v>
      </c>
      <c r="H23" s="48">
        <f>IFERROR(Линия2[[#This Row],[Количество]]/Линия2[[#This Row],[Шт. в поддоне]], "")</f>
        <v>289.35185185185185</v>
      </c>
    </row>
    <row r="24" spans="1:8" hidden="1" x14ac:dyDescent="0.25">
      <c r="A24" s="44">
        <f t="shared" si="3"/>
        <v>46012.664423076923</v>
      </c>
      <c r="B24" s="47">
        <f>Линия2[[#This Row],[Дата начала]]+Линия2[[#This Row],[Длительность]]</f>
        <v>46012.803311965814</v>
      </c>
      <c r="C24" s="28">
        <f t="shared" si="0"/>
        <v>0.1388888888888889</v>
      </c>
      <c r="D24" s="29"/>
      <c r="E24" s="29" t="s">
        <v>158</v>
      </c>
      <c r="F24" s="49"/>
      <c r="G24" s="29"/>
      <c r="H24" s="48" t="str">
        <f>IFERROR(Линия2[[#This Row],[Количество]]/Линия2[[#This Row],[Шт. в поддоне]], "")</f>
        <v/>
      </c>
    </row>
    <row r="25" spans="1:8" hidden="1" x14ac:dyDescent="0.25">
      <c r="A25" s="44">
        <f>B24</f>
        <v>46012.803311965814</v>
      </c>
      <c r="B25" s="47">
        <f>Линия2[[#This Row],[Дата начала]]+Линия2[[#This Row],[Длительность]]</f>
        <v>46012.82414529915</v>
      </c>
      <c r="C25" s="28">
        <f t="shared" si="0"/>
        <v>2.0833333333333332E-2</v>
      </c>
      <c r="D25" s="34"/>
      <c r="E25" s="34" t="s">
        <v>163</v>
      </c>
      <c r="F25" s="50"/>
      <c r="G25" s="34"/>
      <c r="H25" s="46" t="str">
        <f>IFERROR(Линия2[[#This Row],[Количество]]/Линия2[[#This Row],[Шт. в поддоне]], "")</f>
        <v/>
      </c>
    </row>
    <row r="26" spans="1:8" hidden="1" x14ac:dyDescent="0.25">
      <c r="A26" s="44">
        <v>46016.166666666664</v>
      </c>
      <c r="B26" s="47">
        <f>Линия2[[#This Row],[Дата начала]]+Линия2[[#This Row],[Длительность]]</f>
        <v>46018.730769230766</v>
      </c>
      <c r="C26" s="28">
        <f t="shared" si="0"/>
        <v>2.5641025641025643</v>
      </c>
      <c r="D26" s="29">
        <v>6500</v>
      </c>
      <c r="E26" s="29" t="s">
        <v>168</v>
      </c>
      <c r="F26" s="49">
        <v>400000</v>
      </c>
      <c r="G26" s="29">
        <v>1728</v>
      </c>
      <c r="H26" s="31">
        <f>IFERROR(Линия2[[#This Row],[Количество]]/Линия2[[#This Row],[Шт. в поддоне]], "")</f>
        <v>231.4814814814815</v>
      </c>
    </row>
    <row r="27" spans="1:8" hidden="1" x14ac:dyDescent="0.25">
      <c r="A27" s="44">
        <f>B26</f>
        <v>46018.730769230766</v>
      </c>
      <c r="B27" s="47">
        <f>Линия2[[#This Row],[Дата начала]]+Линия2[[#This Row],[Длительность]]</f>
        <v>46018.869658119656</v>
      </c>
      <c r="C27" s="28">
        <f t="shared" si="0"/>
        <v>0.1388888888888889</v>
      </c>
      <c r="D27" s="29"/>
      <c r="E27" s="29" t="s">
        <v>158</v>
      </c>
      <c r="F27" s="49"/>
      <c r="G27" s="29"/>
      <c r="H27" s="31" t="str">
        <f>IFERROR(Линия2[[#This Row],[Количество]]/Линия2[[#This Row],[Шт. в поддоне]], "")</f>
        <v/>
      </c>
    </row>
    <row r="28" spans="1:8" hidden="1" x14ac:dyDescent="0.25">
      <c r="A28" s="44">
        <f t="shared" ref="A28:A31" si="4">B27</f>
        <v>46018.869658119656</v>
      </c>
      <c r="B28" s="47">
        <f>Линия2[[#This Row],[Дата начала]]+Линия2[[#This Row],[Длительность]]</f>
        <v>46020.215811965812</v>
      </c>
      <c r="C28" s="28">
        <f t="shared" si="0"/>
        <v>1.346153846153846</v>
      </c>
      <c r="D28" s="29">
        <v>6500</v>
      </c>
      <c r="E28" s="29" t="s">
        <v>168</v>
      </c>
      <c r="F28" s="49">
        <v>210000</v>
      </c>
      <c r="G28" s="29">
        <v>1728</v>
      </c>
      <c r="H28" s="48">
        <f>IFERROR(Линия2[[#This Row],[Количество]]/Линия2[[#This Row],[Шт. в поддоне]], "")</f>
        <v>121.52777777777777</v>
      </c>
    </row>
    <row r="29" spans="1:8" hidden="1" x14ac:dyDescent="0.25">
      <c r="A29" s="44">
        <f t="shared" si="4"/>
        <v>46020.215811965812</v>
      </c>
      <c r="B29" s="47">
        <f>Линия2[[#This Row],[Дата начала]]+Линия2[[#This Row],[Длительность]]</f>
        <v>46020.236645299148</v>
      </c>
      <c r="C29" s="28">
        <f t="shared" si="0"/>
        <v>2.0833333333333332E-2</v>
      </c>
      <c r="D29" s="34"/>
      <c r="E29" s="34" t="s">
        <v>162</v>
      </c>
      <c r="F29" s="50"/>
      <c r="G29" s="34"/>
      <c r="H29" s="46" t="str">
        <f>IFERROR(Линия2[[#This Row],[Количество]]/Линия2[[#This Row],[Шт. в поддоне]], "")</f>
        <v/>
      </c>
    </row>
    <row r="30" spans="1:8" hidden="1" x14ac:dyDescent="0.25">
      <c r="A30" s="44">
        <v>46020.75</v>
      </c>
      <c r="B30" s="47">
        <f>Линия2[[#This Row],[Дата начала]]+Линия2[[#This Row],[Длительность]]</f>
        <v>46021.519230769234</v>
      </c>
      <c r="C30" s="28">
        <f t="shared" si="0"/>
        <v>0.76923076923076916</v>
      </c>
      <c r="D30" s="29">
        <v>6500</v>
      </c>
      <c r="E30" s="29" t="s">
        <v>164</v>
      </c>
      <c r="F30" s="49">
        <v>120000</v>
      </c>
      <c r="G30" s="29">
        <v>1728</v>
      </c>
      <c r="H30" s="48">
        <f>IFERROR(Линия2[[#This Row],[Количество]]/Линия2[[#This Row],[Шт. в поддоне]], "")</f>
        <v>69.444444444444443</v>
      </c>
    </row>
    <row r="31" spans="1:8" hidden="1" x14ac:dyDescent="0.25">
      <c r="A31" s="44">
        <f t="shared" si="4"/>
        <v>46021.519230769234</v>
      </c>
      <c r="B31" s="47">
        <f>Линия2[[#This Row],[Дата начала]]+Линия2[[#This Row],[Длительность]]</f>
        <v>46021.658119658125</v>
      </c>
      <c r="C31" s="28">
        <f t="shared" si="0"/>
        <v>0.1388888888888889</v>
      </c>
      <c r="D31" s="34"/>
      <c r="E31" s="34" t="s">
        <v>158</v>
      </c>
      <c r="F31" s="50"/>
      <c r="G31" s="34"/>
      <c r="H31" s="48" t="str">
        <f>IFERROR(Линия2[[#This Row],[Количество]]/Линия2[[#This Row],[Шт. в поддоне]], "")</f>
        <v/>
      </c>
    </row>
    <row r="32" spans="1:8" ht="15" hidden="1" x14ac:dyDescent="0.25">
      <c r="A32" s="51"/>
      <c r="B32" s="52"/>
      <c r="C32" s="53"/>
      <c r="D32" s="54"/>
      <c r="E32" s="55" t="s">
        <v>169</v>
      </c>
      <c r="F32" s="54"/>
      <c r="G32" s="54"/>
      <c r="H32" s="56" t="str">
        <f>IFERROR(Линия5[[#This Row],[Количество]]/Линия5[[#This Row],[Шт. в поддоне]], "")</f>
        <v/>
      </c>
    </row>
    <row r="33" spans="1:8" hidden="1" x14ac:dyDescent="0.25">
      <c r="A33" s="44">
        <v>46034.875</v>
      </c>
      <c r="B33" s="47">
        <f>Линия2[[#This Row],[Дата начала]]+Линия2[[#This Row],[Длительность]]</f>
        <v>46035.644230769234</v>
      </c>
      <c r="C33" s="28">
        <f t="shared" ref="C33:C70" si="5">IF(E33="Вытеснение",TIME(0,30,0),
IF(E33="Передача смены",TIME(0,20,0),
IF(E33="Запуск",TIME(0,30,0),
IF(E33="Смена ассортимента",TIME(0,15,0),
IF(E33="Переналадка формата",TIME(5,0,0),
IF(E33="CIP 1",TIME(0,40,0),
IF(E33="CIP 2",TIME(2,30,0),
IF(E33="CIP 3",TIME(3,20,0),
IF(AND(ISNUMBER(F33),ISNUMBER(D33),D33&gt;0),F33/D33/24,"Ошибка")))))))))</f>
        <v>0.76923076923076916</v>
      </c>
      <c r="D33" s="29">
        <v>6500</v>
      </c>
      <c r="E33" s="29" t="s">
        <v>166</v>
      </c>
      <c r="F33" s="49">
        <v>120000</v>
      </c>
      <c r="G33" s="29">
        <v>1728</v>
      </c>
      <c r="H33" s="48">
        <f>IFERROR(Линия2[[#This Row],[Количество]]/Линия2[[#This Row],[Шт. в поддоне]], "")</f>
        <v>69.444444444444443</v>
      </c>
    </row>
    <row r="34" spans="1:8" hidden="1" x14ac:dyDescent="0.25">
      <c r="A34" s="44">
        <f t="shared" ref="A34:A54" si="6">B33</f>
        <v>46035.644230769234</v>
      </c>
      <c r="B34" s="47">
        <f>Линия2[[#This Row],[Дата начала]]+Линия2[[#This Row],[Длительность]]</f>
        <v>46035.748397435898</v>
      </c>
      <c r="C34" s="28">
        <f t="shared" si="5"/>
        <v>0.10416666666666667</v>
      </c>
      <c r="D34" s="29"/>
      <c r="E34" s="29" t="s">
        <v>153</v>
      </c>
      <c r="F34" s="49"/>
      <c r="G34" s="29"/>
      <c r="H34" s="48" t="str">
        <f>IFERROR(Линия2[[#This Row],[Количество]]/Линия2[[#This Row],[Шт. в поддоне]], "")</f>
        <v/>
      </c>
    </row>
    <row r="35" spans="1:8" hidden="1" x14ac:dyDescent="0.25">
      <c r="A35" s="44">
        <f t="shared" si="6"/>
        <v>46035.748397435898</v>
      </c>
      <c r="B35" s="47">
        <f>Линия2[[#This Row],[Дата начала]]+Линия2[[#This Row],[Длительность]]</f>
        <v>46036.004807692312</v>
      </c>
      <c r="C35" s="28">
        <f t="shared" si="5"/>
        <v>0.25641025641025644</v>
      </c>
      <c r="D35" s="29">
        <v>6500</v>
      </c>
      <c r="E35" s="29" t="s">
        <v>170</v>
      </c>
      <c r="F35" s="49">
        <v>40000</v>
      </c>
      <c r="G35" s="29">
        <v>1728</v>
      </c>
      <c r="H35" s="48">
        <f>IFERROR(Линия2[[#This Row],[Количество]]/Линия2[[#This Row],[Шт. в поддоне]], "")</f>
        <v>23.148148148148149</v>
      </c>
    </row>
    <row r="36" spans="1:8" hidden="1" x14ac:dyDescent="0.25">
      <c r="A36" s="44">
        <f t="shared" si="6"/>
        <v>46036.004807692312</v>
      </c>
      <c r="B36" s="47">
        <f>Линия2[[#This Row],[Дата начала]]+Линия2[[#This Row],[Длительность]]</f>
        <v>46036.025641025648</v>
      </c>
      <c r="C36" s="28">
        <f t="shared" si="5"/>
        <v>2.0833333333333332E-2</v>
      </c>
      <c r="D36" s="29"/>
      <c r="E36" s="29" t="s">
        <v>162</v>
      </c>
      <c r="F36" s="49"/>
      <c r="G36" s="29"/>
      <c r="H36" s="48" t="str">
        <f>IFERROR(Линия2[[#This Row],[Количество]]/Линия2[[#This Row],[Шт. в поддоне]], "")</f>
        <v/>
      </c>
    </row>
    <row r="37" spans="1:8" hidden="1" x14ac:dyDescent="0.25">
      <c r="A37" s="44">
        <v>46036.208333333336</v>
      </c>
      <c r="B37" s="47">
        <f>Линия2[[#This Row],[Дата начала]]+Линия2[[#This Row],[Длительность]]</f>
        <v>46036.46474358975</v>
      </c>
      <c r="C37" s="28">
        <f t="shared" si="5"/>
        <v>0.25641025641025644</v>
      </c>
      <c r="D37" s="29">
        <v>6500</v>
      </c>
      <c r="E37" s="29" t="s">
        <v>171</v>
      </c>
      <c r="F37" s="49">
        <v>40000</v>
      </c>
      <c r="G37" s="29">
        <v>1728</v>
      </c>
      <c r="H37" s="48">
        <f>IFERROR(Линия2[[#This Row],[Количество]]/Линия2[[#This Row],[Шт. в поддоне]], "")</f>
        <v>23.148148148148149</v>
      </c>
    </row>
    <row r="38" spans="1:8" hidden="1" x14ac:dyDescent="0.25">
      <c r="A38" s="44">
        <f t="shared" si="6"/>
        <v>46036.46474358975</v>
      </c>
      <c r="B38" s="47">
        <f>Линия2[[#This Row],[Дата начала]]+Линия2[[#This Row],[Длительность]]</f>
        <v>46036.485576923085</v>
      </c>
      <c r="C38" s="28">
        <f t="shared" si="5"/>
        <v>2.0833333333333332E-2</v>
      </c>
      <c r="D38" s="29"/>
      <c r="E38" s="29" t="s">
        <v>162</v>
      </c>
      <c r="F38" s="49"/>
      <c r="G38" s="29"/>
      <c r="H38" s="48" t="str">
        <f>IFERROR(Линия2[[#This Row],[Количество]]/Линия2[[#This Row],[Шт. в поддоне]], "")</f>
        <v/>
      </c>
    </row>
    <row r="39" spans="1:8" hidden="1" x14ac:dyDescent="0.25">
      <c r="A39" s="44">
        <f t="shared" si="6"/>
        <v>46036.485576923085</v>
      </c>
      <c r="B39" s="47">
        <f>Линия2[[#This Row],[Дата начала]]+Линия2[[#This Row],[Длительность]]</f>
        <v>46036.998397435906</v>
      </c>
      <c r="C39" s="28">
        <f t="shared" si="5"/>
        <v>0.51282051282051289</v>
      </c>
      <c r="D39" s="29">
        <v>6500</v>
      </c>
      <c r="E39" s="29" t="s">
        <v>165</v>
      </c>
      <c r="F39" s="49">
        <v>80000</v>
      </c>
      <c r="G39" s="29">
        <v>1728</v>
      </c>
      <c r="H39" s="48">
        <f>IFERROR(Линия2[[#This Row],[Количество]]/Линия2[[#This Row],[Шт. в поддоне]], "")</f>
        <v>46.296296296296298</v>
      </c>
    </row>
    <row r="40" spans="1:8" hidden="1" x14ac:dyDescent="0.25">
      <c r="A40" s="44">
        <f t="shared" si="6"/>
        <v>46036.998397435906</v>
      </c>
      <c r="B40" s="47">
        <f>Линия2[[#This Row],[Дата начала]]+Линия2[[#This Row],[Длительность]]</f>
        <v>46037.019230769241</v>
      </c>
      <c r="C40" s="28">
        <f t="shared" si="5"/>
        <v>2.0833333333333332E-2</v>
      </c>
      <c r="D40" s="29"/>
      <c r="E40" s="29" t="s">
        <v>162</v>
      </c>
      <c r="F40" s="29"/>
      <c r="G40" s="29"/>
      <c r="H40" s="48"/>
    </row>
    <row r="41" spans="1:8" hidden="1" x14ac:dyDescent="0.25">
      <c r="A41" s="44">
        <v>46037.125</v>
      </c>
      <c r="B41" s="47">
        <f>Линия2[[#This Row],[Дата начала]]+Линия2[[#This Row],[Длительность]]</f>
        <v>46037.63782051282</v>
      </c>
      <c r="C41" s="28">
        <f t="shared" si="5"/>
        <v>0.51282051282051289</v>
      </c>
      <c r="D41" s="29">
        <v>6500</v>
      </c>
      <c r="E41" s="29" t="s">
        <v>172</v>
      </c>
      <c r="F41" s="49">
        <v>80000</v>
      </c>
      <c r="G41" s="29">
        <v>1728</v>
      </c>
      <c r="H41" s="48">
        <f>IFERROR(Линия2[[#This Row],[Количество]]/Линия2[[#This Row],[Шт. в поддоне]], "")</f>
        <v>46.296296296296298</v>
      </c>
    </row>
    <row r="42" spans="1:8" hidden="1" x14ac:dyDescent="0.25">
      <c r="A42" s="44">
        <f t="shared" si="6"/>
        <v>46037.63782051282</v>
      </c>
      <c r="B42" s="47">
        <f>Линия2[[#This Row],[Дата начала]]+Линия2[[#This Row],[Длительность]]</f>
        <v>46037.741987179485</v>
      </c>
      <c r="C42" s="28">
        <f t="shared" si="5"/>
        <v>0.10416666666666667</v>
      </c>
      <c r="D42" s="29"/>
      <c r="E42" s="29" t="s">
        <v>153</v>
      </c>
      <c r="F42" s="49"/>
      <c r="G42" s="29"/>
      <c r="H42" s="48" t="str">
        <f>IFERROR(Линия2[[#This Row],[Количество]]/Линия2[[#This Row],[Шт. в поддоне]], "")</f>
        <v/>
      </c>
    </row>
    <row r="43" spans="1:8" hidden="1" x14ac:dyDescent="0.25">
      <c r="A43" s="44">
        <v>46037.875</v>
      </c>
      <c r="B43" s="47">
        <f>Линия2[[#This Row],[Дата начала]]+Линия2[[#This Row],[Длительность]]</f>
        <v>46038.900641025641</v>
      </c>
      <c r="C43" s="28">
        <f t="shared" si="5"/>
        <v>1.0256410256410258</v>
      </c>
      <c r="D43" s="29">
        <v>6500</v>
      </c>
      <c r="E43" s="29" t="s">
        <v>167</v>
      </c>
      <c r="F43" s="49">
        <v>160000</v>
      </c>
      <c r="G43" s="29">
        <v>1728</v>
      </c>
      <c r="H43" s="48">
        <f>IFERROR(Линия2[[#This Row],[Количество]]/Линия2[[#This Row],[Шт. в поддоне]], "")</f>
        <v>92.592592592592595</v>
      </c>
    </row>
    <row r="44" spans="1:8" hidden="1" x14ac:dyDescent="0.25">
      <c r="A44" s="44">
        <f t="shared" si="6"/>
        <v>46038.900641025641</v>
      </c>
      <c r="B44" s="47">
        <f>Линия2[[#This Row],[Дата начала]]+Линия2[[#This Row],[Длительность]]</f>
        <v>46039.039529914531</v>
      </c>
      <c r="C44" s="28">
        <f t="shared" si="5"/>
        <v>0.1388888888888889</v>
      </c>
      <c r="D44" s="29"/>
      <c r="E44" s="29" t="s">
        <v>158</v>
      </c>
      <c r="F44" s="49"/>
      <c r="G44" s="29"/>
      <c r="H44" s="48" t="str">
        <f>IFERROR(Линия2[[#This Row],[Количество]]/Линия2[[#This Row],[Шт. в поддоне]], "")</f>
        <v/>
      </c>
    </row>
    <row r="45" spans="1:8" hidden="1" x14ac:dyDescent="0.25">
      <c r="A45" s="44">
        <f t="shared" si="6"/>
        <v>46039.039529914531</v>
      </c>
      <c r="B45" s="47">
        <f>Линия2[[#This Row],[Дата начала]]+Линия2[[#This Row],[Длительность]]</f>
        <v>46040.321581196586</v>
      </c>
      <c r="C45" s="28">
        <f t="shared" si="5"/>
        <v>1.2820512820512822</v>
      </c>
      <c r="D45" s="29">
        <v>6500</v>
      </c>
      <c r="E45" s="57" t="s">
        <v>164</v>
      </c>
      <c r="F45" s="58">
        <v>200000</v>
      </c>
      <c r="G45" s="29">
        <v>1728</v>
      </c>
      <c r="H45" s="48">
        <f>IFERROR(Линия2[[#This Row],[Количество]]/Линия2[[#This Row],[Шт. в поддоне]], "")</f>
        <v>115.74074074074075</v>
      </c>
    </row>
    <row r="46" spans="1:8" hidden="1" x14ac:dyDescent="0.25">
      <c r="A46" s="44">
        <f t="shared" si="6"/>
        <v>46040.321581196586</v>
      </c>
      <c r="B46" s="47">
        <f>Линия2[[#This Row],[Дата начала]]+Линия2[[#This Row],[Длительность]]</f>
        <v>46040.342414529921</v>
      </c>
      <c r="C46" s="28">
        <f t="shared" si="5"/>
        <v>2.0833333333333332E-2</v>
      </c>
      <c r="D46" s="29"/>
      <c r="E46" s="29" t="s">
        <v>162</v>
      </c>
      <c r="F46" s="29"/>
      <c r="G46" s="29"/>
      <c r="H46" s="48" t="str">
        <f>IFERROR(Линия2[[#This Row],[Количество]]/Линия2[[#This Row],[Шт. в поддоне]], "")</f>
        <v/>
      </c>
    </row>
    <row r="47" spans="1:8" hidden="1" x14ac:dyDescent="0.25">
      <c r="A47" s="44">
        <v>46040.583333333336</v>
      </c>
      <c r="B47" s="47">
        <f>Линия2[[#This Row],[Дата начала]]+Линия2[[#This Row],[Длительность]]</f>
        <v>46041.86538461539</v>
      </c>
      <c r="C47" s="28">
        <f t="shared" si="5"/>
        <v>1.2820512820512822</v>
      </c>
      <c r="D47" s="29">
        <v>6500</v>
      </c>
      <c r="E47" s="57" t="s">
        <v>168</v>
      </c>
      <c r="F47" s="58">
        <v>200000</v>
      </c>
      <c r="G47" s="29">
        <v>1728</v>
      </c>
      <c r="H47" s="48">
        <f>IFERROR(Линия2[[#This Row],[Количество]]/Линия2[[#This Row],[Шт. в поддоне]], "")</f>
        <v>115.74074074074075</v>
      </c>
    </row>
    <row r="48" spans="1:8" hidden="1" x14ac:dyDescent="0.25">
      <c r="A48" s="44">
        <f t="shared" si="6"/>
        <v>46041.86538461539</v>
      </c>
      <c r="B48" s="47">
        <f>Линия2[[#This Row],[Дата начала]]+Линия2[[#This Row],[Длительность]]</f>
        <v>46042.004273504281</v>
      </c>
      <c r="C48" s="28">
        <f t="shared" si="5"/>
        <v>0.1388888888888889</v>
      </c>
      <c r="D48" s="29"/>
      <c r="E48" s="29" t="s">
        <v>158</v>
      </c>
      <c r="F48" s="29"/>
      <c r="G48" s="29"/>
      <c r="H48" s="48" t="str">
        <f>IFERROR(Линия2[[#This Row],[Количество]]/Линия2[[#This Row],[Шт. в поддоне]], "")</f>
        <v/>
      </c>
    </row>
    <row r="49" spans="1:8" hidden="1" x14ac:dyDescent="0.25">
      <c r="A49" s="44">
        <f t="shared" si="6"/>
        <v>46042.004273504281</v>
      </c>
      <c r="B49" s="47">
        <f>Линия2[[#This Row],[Дата начала]]+Линия2[[#This Row],[Длительность]]</f>
        <v>46042.517094017101</v>
      </c>
      <c r="C49" s="28">
        <f t="shared" si="5"/>
        <v>0.51282051282051289</v>
      </c>
      <c r="D49" s="29">
        <v>6500</v>
      </c>
      <c r="E49" s="57" t="s">
        <v>161</v>
      </c>
      <c r="F49" s="58">
        <v>80000</v>
      </c>
      <c r="G49" s="29">
        <v>1728</v>
      </c>
      <c r="H49" s="48">
        <f>IFERROR(Линия2[[#This Row],[Количество]]/Линия2[[#This Row],[Шт. в поддоне]], "")</f>
        <v>46.296296296296298</v>
      </c>
    </row>
    <row r="50" spans="1:8" hidden="1" x14ac:dyDescent="0.25">
      <c r="A50" s="44">
        <f t="shared" si="6"/>
        <v>46042.517094017101</v>
      </c>
      <c r="B50" s="47">
        <f>Линия2[[#This Row],[Дата начала]]+Линия2[[#This Row],[Длительность]]</f>
        <v>46042.537927350437</v>
      </c>
      <c r="C50" s="28">
        <f t="shared" si="5"/>
        <v>2.0833333333333332E-2</v>
      </c>
      <c r="D50" s="29"/>
      <c r="E50" s="29" t="s">
        <v>162</v>
      </c>
      <c r="F50" s="29"/>
      <c r="G50" s="29"/>
      <c r="H50" s="48"/>
    </row>
    <row r="51" spans="1:8" hidden="1" x14ac:dyDescent="0.25">
      <c r="A51" s="44">
        <f t="shared" si="6"/>
        <v>46042.537927350437</v>
      </c>
      <c r="B51" s="47">
        <f>Линия2[[#This Row],[Дата начала]]+Линия2[[#This Row],[Длительность]]</f>
        <v>46042.794337606851</v>
      </c>
      <c r="C51" s="28">
        <f t="shared" si="5"/>
        <v>0.25641025641025644</v>
      </c>
      <c r="D51" s="29">
        <v>6500</v>
      </c>
      <c r="E51" s="57" t="s">
        <v>173</v>
      </c>
      <c r="F51" s="58">
        <v>40000</v>
      </c>
      <c r="G51" s="29">
        <v>1728</v>
      </c>
      <c r="H51" s="48">
        <f>IFERROR(Линия2[[#This Row],[Количество]]/Линия2[[#This Row],[Шт. в поддоне]], "")</f>
        <v>23.148148148148149</v>
      </c>
    </row>
    <row r="52" spans="1:8" hidden="1" x14ac:dyDescent="0.25">
      <c r="A52" s="44">
        <f t="shared" si="6"/>
        <v>46042.794337606851</v>
      </c>
      <c r="B52" s="47">
        <f>Линия2[[#This Row],[Дата начала]]+Линия2[[#This Row],[Длительность]]</f>
        <v>46042.898504273515</v>
      </c>
      <c r="C52" s="28">
        <f t="shared" si="5"/>
        <v>0.10416666666666667</v>
      </c>
      <c r="D52" s="29"/>
      <c r="E52" s="34" t="s">
        <v>153</v>
      </c>
      <c r="F52" s="34"/>
      <c r="G52" s="29"/>
      <c r="H52" s="48" t="str">
        <f>IFERROR(Линия2[[#This Row],[Количество]]/Линия2[[#This Row],[Шт. в поддоне]], "")</f>
        <v/>
      </c>
    </row>
    <row r="53" spans="1:8" hidden="1" x14ac:dyDescent="0.25">
      <c r="A53" s="44">
        <f t="shared" si="6"/>
        <v>46042.898504273515</v>
      </c>
      <c r="B53" s="47">
        <f>Линия2[[#This Row],[Дата начала]]+Линия2[[#This Row],[Длительность]]</f>
        <v>46044.180555555569</v>
      </c>
      <c r="C53" s="28">
        <f t="shared" si="5"/>
        <v>1.2820512820512822</v>
      </c>
      <c r="D53" s="29">
        <v>6500</v>
      </c>
      <c r="E53" s="29" t="s">
        <v>168</v>
      </c>
      <c r="F53" s="29">
        <v>200000</v>
      </c>
      <c r="G53" s="29">
        <v>1728</v>
      </c>
      <c r="H53" s="48">
        <f>IFERROR(Линия2[[#This Row],[Количество]]/Линия2[[#This Row],[Шт. в поддоне]], "")</f>
        <v>115.74074074074075</v>
      </c>
    </row>
    <row r="54" spans="1:8" hidden="1" x14ac:dyDescent="0.25">
      <c r="A54" s="44">
        <f t="shared" si="6"/>
        <v>46044.180555555569</v>
      </c>
      <c r="B54" s="47">
        <f>Линия2[[#This Row],[Дата начала]]+Линия2[[#This Row],[Длительность]]</f>
        <v>46044.284722222234</v>
      </c>
      <c r="C54" s="28">
        <f t="shared" si="5"/>
        <v>0.10416666666666667</v>
      </c>
      <c r="D54" s="29"/>
      <c r="E54" s="29" t="s">
        <v>153</v>
      </c>
      <c r="F54" s="29"/>
      <c r="G54" s="29"/>
      <c r="H54" s="48" t="str">
        <f>IFERROR(Линия2[[#This Row],[Количество]]/Линия2[[#This Row],[Шт. в поддоне]], "")</f>
        <v/>
      </c>
    </row>
    <row r="55" spans="1:8" hidden="1" x14ac:dyDescent="0.25">
      <c r="A55" s="44">
        <v>46044.375</v>
      </c>
      <c r="B55" s="47">
        <f>Линия2[[#This Row],[Дата начала]]+Линия2[[#This Row],[Длительность]]</f>
        <v>46044.88782051282</v>
      </c>
      <c r="C55" s="28">
        <f t="shared" si="5"/>
        <v>0.51282051282051289</v>
      </c>
      <c r="D55" s="29">
        <v>6500</v>
      </c>
      <c r="E55" s="29" t="s">
        <v>174</v>
      </c>
      <c r="F55" s="29">
        <v>80000</v>
      </c>
      <c r="G55" s="29">
        <v>1728</v>
      </c>
      <c r="H55" s="48">
        <f>IFERROR(Линия2[[#This Row],[Количество]]/Линия2[[#This Row],[Шт. в поддоне]], "")</f>
        <v>46.296296296296298</v>
      </c>
    </row>
    <row r="56" spans="1:8" hidden="1" x14ac:dyDescent="0.25">
      <c r="A56" s="44">
        <f>B55</f>
        <v>46044.88782051282</v>
      </c>
      <c r="B56" s="47">
        <f>Линия2[[#This Row],[Дата начала]]+Линия2[[#This Row],[Длительность]]</f>
        <v>46045.026709401711</v>
      </c>
      <c r="C56" s="28">
        <f t="shared" si="5"/>
        <v>0.1388888888888889</v>
      </c>
      <c r="D56" s="29"/>
      <c r="E56" s="29" t="s">
        <v>158</v>
      </c>
      <c r="F56" s="29"/>
      <c r="G56" s="29"/>
      <c r="H56" s="48" t="str">
        <f>IFERROR(Линия2[[#This Row],[Количество]]/Линия2[[#This Row],[Шт. в поддоне]], "")</f>
        <v/>
      </c>
    </row>
    <row r="57" spans="1:8" hidden="1" x14ac:dyDescent="0.25">
      <c r="A57" s="44">
        <v>46045.125</v>
      </c>
      <c r="B57" s="47">
        <f>Линия2[[#This Row],[Дата начала]]+Линия2[[#This Row],[Длительность]]</f>
        <v>46045.63782051282</v>
      </c>
      <c r="C57" s="28">
        <f t="shared" si="5"/>
        <v>0.51282051282051289</v>
      </c>
      <c r="D57" s="29">
        <v>6500</v>
      </c>
      <c r="E57" s="29" t="s">
        <v>167</v>
      </c>
      <c r="F57" s="29">
        <v>80000</v>
      </c>
      <c r="G57" s="29">
        <v>1728</v>
      </c>
      <c r="H57" s="48">
        <f>IFERROR(Линия2[[#This Row],[Количество]]/Линия2[[#This Row],[Шт. в поддоне]], "")</f>
        <v>46.296296296296298</v>
      </c>
    </row>
    <row r="58" spans="1:8" hidden="1" x14ac:dyDescent="0.25">
      <c r="A58" s="44">
        <f t="shared" ref="A58:A68" si="7">B57</f>
        <v>46045.63782051282</v>
      </c>
      <c r="B58" s="47">
        <f>Линия2[[#This Row],[Дата начала]]+Линия2[[#This Row],[Длительность]]</f>
        <v>46045.776709401711</v>
      </c>
      <c r="C58" s="28">
        <f t="shared" si="5"/>
        <v>0.1388888888888889</v>
      </c>
      <c r="D58" s="29"/>
      <c r="E58" s="29" t="s">
        <v>158</v>
      </c>
      <c r="F58" s="29"/>
      <c r="G58" s="29"/>
      <c r="H58" s="48" t="str">
        <f>IFERROR(Линия2[[#This Row],[Количество]]/Линия2[[#This Row],[Шт. в поддоне]], "")</f>
        <v/>
      </c>
    </row>
    <row r="59" spans="1:8" hidden="1" x14ac:dyDescent="0.25">
      <c r="A59" s="44">
        <f t="shared" si="7"/>
        <v>46045.776709401711</v>
      </c>
      <c r="B59" s="47">
        <f>Линия2[[#This Row],[Дата начала]]+Линия2[[#This Row],[Длительность]]</f>
        <v>46046.545940170945</v>
      </c>
      <c r="C59" s="28">
        <f t="shared" si="5"/>
        <v>0.76923076923076916</v>
      </c>
      <c r="D59" s="29">
        <v>6500</v>
      </c>
      <c r="E59" s="29" t="s">
        <v>164</v>
      </c>
      <c r="F59" s="29">
        <v>120000</v>
      </c>
      <c r="G59" s="29">
        <v>1728</v>
      </c>
      <c r="H59" s="48">
        <f>IFERROR(Линия2[[#This Row],[Количество]]/Линия2[[#This Row],[Шт. в поддоне]], "")</f>
        <v>69.444444444444443</v>
      </c>
    </row>
    <row r="60" spans="1:8" hidden="1" x14ac:dyDescent="0.25">
      <c r="A60" s="44">
        <f t="shared" si="7"/>
        <v>46046.545940170945</v>
      </c>
      <c r="B60" s="47">
        <f>Линия2[[#This Row],[Дата начала]]+Линия2[[#This Row],[Длительность]]</f>
        <v>46046.566773504281</v>
      </c>
      <c r="C60" s="28">
        <f t="shared" si="5"/>
        <v>2.0833333333333332E-2</v>
      </c>
      <c r="D60" s="29"/>
      <c r="E60" s="29" t="s">
        <v>162</v>
      </c>
      <c r="F60" s="29"/>
      <c r="G60" s="29"/>
      <c r="H60" s="48" t="str">
        <f>IFERROR(Линия2[[#This Row],[Количество]]/Линия2[[#This Row],[Шт. в поддоне]], "")</f>
        <v/>
      </c>
    </row>
    <row r="61" spans="1:8" hidden="1" x14ac:dyDescent="0.25">
      <c r="A61" s="44">
        <f t="shared" si="7"/>
        <v>46046.566773504281</v>
      </c>
      <c r="B61" s="47">
        <f>Линия2[[#This Row],[Дата начала]]+Линия2[[#This Row],[Длительность]]</f>
        <v>46048.105235042742</v>
      </c>
      <c r="C61" s="28">
        <f t="shared" si="5"/>
        <v>1.5384615384615383</v>
      </c>
      <c r="D61" s="29">
        <v>6500</v>
      </c>
      <c r="E61" s="29" t="s">
        <v>168</v>
      </c>
      <c r="F61" s="29">
        <v>240000</v>
      </c>
      <c r="G61" s="29">
        <v>1728</v>
      </c>
      <c r="H61" s="48">
        <f>IFERROR(Линия2[[#This Row],[Количество]]/Линия2[[#This Row],[Шт. в поддоне]], "")</f>
        <v>138.88888888888889</v>
      </c>
    </row>
    <row r="62" spans="1:8" hidden="1" x14ac:dyDescent="0.25">
      <c r="A62" s="44">
        <f t="shared" si="7"/>
        <v>46048.105235042742</v>
      </c>
      <c r="B62" s="47">
        <f>Линия2[[#This Row],[Дата начала]]+Линия2[[#This Row],[Длительность]]</f>
        <v>46048.244123931632</v>
      </c>
      <c r="C62" s="28">
        <f t="shared" si="5"/>
        <v>0.1388888888888889</v>
      </c>
      <c r="D62" s="34"/>
      <c r="E62" s="34" t="s">
        <v>158</v>
      </c>
      <c r="F62" s="34"/>
      <c r="G62" s="34"/>
      <c r="H62" s="48" t="str">
        <f>IFERROR(Линия2[[#This Row],[Количество]]/Линия2[[#This Row],[Шт. в поддоне]], "")</f>
        <v/>
      </c>
    </row>
    <row r="63" spans="1:8" hidden="1" x14ac:dyDescent="0.25">
      <c r="A63" s="44">
        <f t="shared" si="7"/>
        <v>46048.244123931632</v>
      </c>
      <c r="B63" s="47">
        <f>Линия2[[#This Row],[Дата начала]]+Линия2[[#This Row],[Длительность]]</f>
        <v>46048.756944444453</v>
      </c>
      <c r="C63" s="28">
        <f t="shared" si="5"/>
        <v>0.51282051282051289</v>
      </c>
      <c r="D63" s="29">
        <v>6500</v>
      </c>
      <c r="E63" s="29" t="s">
        <v>165</v>
      </c>
      <c r="F63" s="29">
        <v>80000</v>
      </c>
      <c r="G63" s="29">
        <v>1728</v>
      </c>
      <c r="H63" s="48">
        <f>IFERROR(Линия2[[#This Row],[Количество]]/Линия2[[#This Row],[Шт. в поддоне]], "")</f>
        <v>46.296296296296298</v>
      </c>
    </row>
    <row r="64" spans="1:8" hidden="1" x14ac:dyDescent="0.25">
      <c r="A64" s="44">
        <f t="shared" si="7"/>
        <v>46048.756944444453</v>
      </c>
      <c r="B64" s="47">
        <f>Линия2[[#This Row],[Дата начала]]+Линия2[[#This Row],[Длительность]]</f>
        <v>46048.777777777788</v>
      </c>
      <c r="C64" s="28">
        <f t="shared" si="5"/>
        <v>2.0833333333333332E-2</v>
      </c>
      <c r="D64" s="29"/>
      <c r="E64" s="29" t="s">
        <v>162</v>
      </c>
      <c r="F64" s="29"/>
      <c r="G64" s="29"/>
      <c r="H64" s="48" t="str">
        <f>IFERROR(Линия2[[#This Row],[Количество]]/Линия2[[#This Row],[Шт. в поддоне]], "")</f>
        <v/>
      </c>
    </row>
    <row r="65" spans="1:8" hidden="1" x14ac:dyDescent="0.25">
      <c r="A65" s="44">
        <v>46049.208333333336</v>
      </c>
      <c r="B65" s="47">
        <f>Линия2[[#This Row],[Дата начала]]+Линия2[[#This Row],[Длительность]]</f>
        <v>46049.721153846156</v>
      </c>
      <c r="C65" s="28">
        <f t="shared" si="5"/>
        <v>0.51282051282051289</v>
      </c>
      <c r="D65" s="29">
        <v>6500</v>
      </c>
      <c r="E65" s="29" t="s">
        <v>175</v>
      </c>
      <c r="F65" s="29">
        <v>80000</v>
      </c>
      <c r="G65" s="29">
        <v>1728</v>
      </c>
      <c r="H65" s="48">
        <f>IFERROR(Линия2[[#This Row],[Количество]]/Линия2[[#This Row],[Шт. в поддоне]], "")</f>
        <v>46.296296296296298</v>
      </c>
    </row>
    <row r="66" spans="1:8" hidden="1" x14ac:dyDescent="0.25">
      <c r="A66" s="44">
        <f t="shared" si="7"/>
        <v>46049.721153846156</v>
      </c>
      <c r="B66" s="47">
        <f>Линия2[[#This Row],[Дата начала]]+Линия2[[#This Row],[Длительность]]</f>
        <v>46049.82532051282</v>
      </c>
      <c r="C66" s="28">
        <f t="shared" si="5"/>
        <v>0.10416666666666667</v>
      </c>
      <c r="D66" s="29"/>
      <c r="E66" s="29" t="s">
        <v>153</v>
      </c>
      <c r="F66" s="29"/>
      <c r="G66" s="29"/>
      <c r="H66" s="48" t="str">
        <f>IFERROR(Линия2[[#This Row],[Количество]]/Линия2[[#This Row],[Шт. в поддоне]], "")</f>
        <v/>
      </c>
    </row>
    <row r="67" spans="1:8" hidden="1" x14ac:dyDescent="0.25">
      <c r="A67" s="44">
        <f t="shared" si="7"/>
        <v>46049.82532051282</v>
      </c>
      <c r="B67" s="47">
        <v>46051.916666666664</v>
      </c>
      <c r="C67" s="28">
        <f t="shared" si="5"/>
        <v>1.2820512820512822</v>
      </c>
      <c r="D67" s="29">
        <v>6500</v>
      </c>
      <c r="E67" s="29" t="s">
        <v>166</v>
      </c>
      <c r="F67" s="29">
        <v>200000</v>
      </c>
      <c r="G67" s="29">
        <v>1728</v>
      </c>
      <c r="H67" s="48">
        <f>IFERROR(Линия2[[#This Row],[Количество]]/Линия2[[#This Row],[Шт. в поддоне]], "")</f>
        <v>115.74074074074075</v>
      </c>
    </row>
    <row r="68" spans="1:8" hidden="1" x14ac:dyDescent="0.25">
      <c r="A68" s="44">
        <f t="shared" si="7"/>
        <v>46051.916666666664</v>
      </c>
      <c r="B68" s="47">
        <f>Линия2[[#This Row],[Дата начала]]+Линия2[[#This Row],[Длительность]]</f>
        <v>46051.9375</v>
      </c>
      <c r="C68" s="28">
        <f t="shared" si="5"/>
        <v>2.0833333333333332E-2</v>
      </c>
      <c r="D68" s="29"/>
      <c r="E68" s="29" t="s">
        <v>162</v>
      </c>
      <c r="F68" s="29"/>
      <c r="G68" s="29"/>
      <c r="H68" s="48" t="str">
        <f>IFERROR(Линия2[[#This Row],[Количество]]/Линия2[[#This Row],[Шт. в поддоне]], "")</f>
        <v/>
      </c>
    </row>
    <row r="69" spans="1:8" hidden="1" x14ac:dyDescent="0.25">
      <c r="A69" s="44">
        <v>46052.083333333336</v>
      </c>
      <c r="B69" s="47">
        <f>Линия2[[#This Row],[Дата начала]]+Линия2[[#This Row],[Длительность]]</f>
        <v>46052.596153846156</v>
      </c>
      <c r="C69" s="28">
        <f t="shared" si="5"/>
        <v>0.51282051282051289</v>
      </c>
      <c r="D69" s="29">
        <v>6500</v>
      </c>
      <c r="E69" s="29" t="s">
        <v>176</v>
      </c>
      <c r="F69" s="29">
        <v>80000</v>
      </c>
      <c r="G69" s="29">
        <v>1728</v>
      </c>
      <c r="H69" s="48">
        <f>IFERROR(Линия2[[#This Row],[Количество]]/Линия2[[#This Row],[Шт. в поддоне]], "")</f>
        <v>46.296296296296298</v>
      </c>
    </row>
    <row r="70" spans="1:8" hidden="1" x14ac:dyDescent="0.25">
      <c r="A70" s="44">
        <f>B69</f>
        <v>46052.596153846156</v>
      </c>
      <c r="B70" s="47">
        <f>Линия2[[#This Row],[Дата начала]]+Линия2[[#This Row],[Длительность]]</f>
        <v>46052.735042735047</v>
      </c>
      <c r="C70" s="28">
        <f t="shared" si="5"/>
        <v>0.1388888888888889</v>
      </c>
      <c r="D70" s="29"/>
      <c r="E70" s="29" t="s">
        <v>158</v>
      </c>
      <c r="F70" s="29"/>
      <c r="G70" s="29"/>
      <c r="H70" s="48" t="str">
        <f>IFERROR(Линия2[[#This Row],[Количество]]/Линия2[[#This Row],[Шт. в поддоне]], "")</f>
        <v/>
      </c>
    </row>
    <row r="71" spans="1:8" hidden="1" x14ac:dyDescent="0.25">
      <c r="A71" s="59"/>
      <c r="B71" s="60"/>
      <c r="C71" s="36"/>
      <c r="D71" s="38"/>
      <c r="E71" s="38" t="s">
        <v>177</v>
      </c>
      <c r="F71" s="38"/>
      <c r="G71" s="38"/>
      <c r="H71" s="56" t="str">
        <f>IFERROR(Линия2[[#This Row],[Количество]]/Линия2[[#This Row],[Шт. в поддоне]], "")</f>
        <v/>
      </c>
    </row>
    <row r="72" spans="1:8" hidden="1" x14ac:dyDescent="0.25">
      <c r="A72" s="44">
        <f>'Линия 1'!B12</f>
        <v>46055.443376068382</v>
      </c>
      <c r="B72" s="47">
        <f>Линия2[[#This Row],[Дата начала]]+Линия2[[#This Row],[Длительность]]</f>
        <v>46055.547542735047</v>
      </c>
      <c r="C72" s="28">
        <f>IF(E72="Вытеснение",TIME(0,30,0),
IF(E72="Передача смены",TIME(0,20,0),
IF(E72="Запуск",TIME(0,30,0),
IF(E72="Смена ассортимента",TIME(0,15,0),
IF(E72="Переналадка формата",TIME(5,0,0),
IF(E72="CIP 1",TIME(0,40,0),
IF(E72="CIP 2",TIME(2,30,0),
IF(E72="CIP 3",TIME(3,20,0),
IF(AND(ISNUMBER(F72),ISNUMBER(D72),D72&gt;0),F72/D72/24,"Ошибка")))))))))</f>
        <v>0.10416666666666667</v>
      </c>
      <c r="D72" s="29"/>
      <c r="E72" s="29" t="s">
        <v>153</v>
      </c>
      <c r="F72" s="29"/>
      <c r="G72" s="29"/>
      <c r="H72" s="48" t="str">
        <f>IFERROR(Линия2[[#This Row],[Количество]]/Линия2[[#This Row],[Шт. в поддоне]], "")</f>
        <v/>
      </c>
    </row>
    <row r="73" spans="1:8" hidden="1" x14ac:dyDescent="0.25">
      <c r="A73" s="44">
        <f>B72</f>
        <v>46055.547542735047</v>
      </c>
      <c r="B73" s="47">
        <f>Линия2[[#This Row],[Дата начала]]+Линия2[[#This Row],[Длительность]]</f>
        <v>46057.086004273508</v>
      </c>
      <c r="C73" s="28">
        <f>IF(E73="Вытеснение",TIME(0,30,0),
IF(E73="Передача смены",TIME(0,20,0),
IF(E73="Запуск",TIME(0,30,0),
IF(E73="Смена ассортимента",TIME(0,15,0),
IF(E73="Переналадка формата",TIME(5,0,0),
IF(E73="CIP 1",TIME(0,40,0),
IF(E73="CIP 2",TIME(2,30,0),
IF(E73="CIP 3",TIME(3,20,0),
IF(AND(ISNUMBER(F73),ISNUMBER(D73),D73&gt;0),F73/D73/24,"Ошибка")))))))))</f>
        <v>1.5384615384615383</v>
      </c>
      <c r="D73" s="29">
        <v>6500</v>
      </c>
      <c r="E73" s="29" t="s">
        <v>164</v>
      </c>
      <c r="F73" s="49">
        <v>240000</v>
      </c>
      <c r="G73" s="29">
        <v>1728</v>
      </c>
      <c r="H73" s="48">
        <f>IFERROR(Линия2[[#This Row],[Количество]]/Линия2[[#This Row],[Шт. в поддоне]], "")</f>
        <v>138.88888888888889</v>
      </c>
    </row>
    <row r="74" spans="1:8" hidden="1" x14ac:dyDescent="0.25">
      <c r="A74" s="44">
        <f>B73</f>
        <v>46057.086004273508</v>
      </c>
      <c r="B74" s="47">
        <f>Линия2[[#This Row],[Дата начала]]+Линия2[[#This Row],[Длительность]]</f>
        <v>46057.224893162398</v>
      </c>
      <c r="C74" s="28">
        <f>IF(E74="Вытеснение",TIME(0,30,0),
IF(E74="Передача смены",TIME(0,20,0),
IF(E74="Запуск",TIME(0,30,0),
IF(E74="Смена ассортимента",TIME(0,15,0),
IF(E74="Переналадка формата",TIME(5,0,0),
IF(E74="CIP 1",TIME(0,40,0),
IF(E74="CIP 2",TIME(2,30,0),
IF(E74="CIP 3",TIME(3,20,0),
IF(AND(ISNUMBER(F74),ISNUMBER(D74),D74&gt;0),F74/D74/24,"Ошибка")))))))))</f>
        <v>0.1388888888888889</v>
      </c>
      <c r="D74" s="29"/>
      <c r="E74" s="29" t="s">
        <v>158</v>
      </c>
      <c r="F74" s="29"/>
      <c r="G74" s="29"/>
      <c r="H74" s="48" t="str">
        <f>IFERROR(Линия2[[#This Row],[Количество]]/Линия2[[#This Row],[Шт. в поддоне]], "")</f>
        <v/>
      </c>
    </row>
    <row r="75" spans="1:8" hidden="1" x14ac:dyDescent="0.25">
      <c r="A75" s="44">
        <v>46057.590277777781</v>
      </c>
      <c r="B75" s="47">
        <f>Линия2[[#This Row],[Дата начала]]+Линия2[[#This Row],[Длительность]]</f>
        <v>46058.615918803422</v>
      </c>
      <c r="C75" s="28">
        <f t="shared" ref="C75" si="8">IF(E75="Вытеснение",TIME(0,30,0),
IF(E75="Передача смены",TIME(0,20,0),
IF(E75="Запуск",TIME(0,30,0),
IF(E75="Смена ассортимента",TIME(0,15,0),
IF(E75="Переналадка формата",TIME(5,0,0),
IF(E75="CIP 1",TIME(0,40,0),
IF(E75="CIP 2",TIME(2,30,0),
IF(E75="CIP 3",TIME(3,20,0),
IF(AND(ISNUMBER(F75),ISNUMBER(D75),D75&gt;0),F75/D75/24,"Ошибка")))))))))</f>
        <v>1.0256410256410258</v>
      </c>
      <c r="D75" s="29">
        <v>6500</v>
      </c>
      <c r="E75" s="29" t="s">
        <v>165</v>
      </c>
      <c r="F75" s="49">
        <v>160000</v>
      </c>
      <c r="G75" s="29">
        <v>1728</v>
      </c>
      <c r="H75" s="48">
        <f>IFERROR(Линия2[[#This Row],[Количество]]/Линия2[[#This Row],[Шт. в поддоне]], "")</f>
        <v>92.592592592592595</v>
      </c>
    </row>
    <row r="76" spans="1:8" hidden="1" x14ac:dyDescent="0.25">
      <c r="A76" s="44">
        <f t="shared" ref="A76" si="9">B75</f>
        <v>46058.615918803422</v>
      </c>
      <c r="B76" s="47">
        <f>Линия2[[#This Row],[Дата начала]]+Линия2[[#This Row],[Длительность]]</f>
        <v>46058.754807692312</v>
      </c>
      <c r="C76" s="28">
        <f>IF(E76="Вытеснение",TIME(0,30,0),
IF(E76="Передача смены",TIME(0,20,0),
IF(E76="Запуск",TIME(0,30,0),
IF(E76="Смена ассортимента",TIME(0,15,0),
IF(E76="Переналадка формата",TIME(5,0,0),
IF(E76="CIP 1",TIME(0,40,0),
IF(E76="CIP 2",TIME(2,30,0),
IF(E76="CIP 3",TIME(3,20,0),
IF(AND(ISNUMBER(F76),ISNUMBER(D76),D76&gt;0),F76/D76/24,"Ошибка")))))))))</f>
        <v>0.1388888888888889</v>
      </c>
      <c r="D76" s="34"/>
      <c r="E76" s="29" t="s">
        <v>158</v>
      </c>
      <c r="F76" s="29"/>
      <c r="G76" s="34"/>
      <c r="H76" s="48" t="str">
        <f>IFERROR(Линия2[[#This Row],[Количество]]/Линия2[[#This Row],[Шт. в поддоне]], "")</f>
        <v/>
      </c>
    </row>
    <row r="77" spans="1:8" hidden="1" x14ac:dyDescent="0.25">
      <c r="A77" s="44">
        <v>46058.833333333336</v>
      </c>
      <c r="B77" s="47">
        <f>Линия2[[#This Row],[Дата начала]]+Линия2[[#This Row],[Длительность]]</f>
        <v>46060.11538461539</v>
      </c>
      <c r="C77" s="28">
        <f>IF(E77="Вытеснение",TIME(0,30,0),
IF(E77="Передача смены",TIME(0,20,0),
IF(E77="Запуск",TIME(0,30,0),
IF(E77="Смена ассортимента",TIME(0,15,0),
IF(E77="Переналадка формата",TIME(5,0,0),
IF(E77="CIP 1",TIME(0,40,0),
IF(E77="CIP 2",TIME(2,30,0),
IF(E77="CIP 3",TIME(3,20,0),
IF(AND(ISNUMBER(F77),ISNUMBER(D77),D77&gt;0),F77/D77/24,"Ошибка")))))))))</f>
        <v>1.2820512820512822</v>
      </c>
      <c r="D77" s="29">
        <v>6500</v>
      </c>
      <c r="E77" s="29" t="s">
        <v>164</v>
      </c>
      <c r="F77" s="29">
        <v>200000</v>
      </c>
      <c r="G77" s="29">
        <v>1728</v>
      </c>
      <c r="H77" s="48">
        <f>IFERROR(Линия2[[#This Row],[Количество]]/Линия2[[#This Row],[Шт. в поддоне]], "")</f>
        <v>115.74074074074075</v>
      </c>
    </row>
    <row r="78" spans="1:8" hidden="1" x14ac:dyDescent="0.25">
      <c r="A78" s="44">
        <f t="shared" ref="A78:A84" si="10">B77</f>
        <v>46060.11538461539</v>
      </c>
      <c r="B78" s="47">
        <f>Линия2[[#This Row],[Дата начала]]+Линия2[[#This Row],[Длительность]]</f>
        <v>46060.219551282054</v>
      </c>
      <c r="C78" s="28">
        <f t="shared" ref="C78:C102" si="11">IF(E78="Вытеснение",TIME(0,30,0),
IF(E78="Передача смены",TIME(0,20,0),
IF(E78="Запуск",TIME(0,30,0),
IF(E78="Смена ассортимента",TIME(0,15,0),
IF(E78="Переналадка формата",TIME(5,0,0),
IF(E78="CIP 1",TIME(0,40,0),
IF(E78="CIP 2",TIME(2,30,0),
IF(E78="CIP 3",TIME(3,20,0),
IF(AND(ISNUMBER(F78),ISNUMBER(D78),D78&gt;0),F78/D78/24,"Ошибка")))))))))</f>
        <v>0.10416666666666667</v>
      </c>
      <c r="D78" s="29"/>
      <c r="E78" s="34" t="s">
        <v>153</v>
      </c>
      <c r="F78" s="34"/>
      <c r="G78" s="29"/>
      <c r="H78" s="48" t="str">
        <f>IFERROR(Линия2[[#This Row],[Количество]]/Линия2[[#This Row],[Шт. в поддоне]], "")</f>
        <v/>
      </c>
    </row>
    <row r="79" spans="1:8" hidden="1" x14ac:dyDescent="0.25">
      <c r="A79" s="44">
        <f t="shared" si="10"/>
        <v>46060.219551282054</v>
      </c>
      <c r="B79" s="47">
        <f>Линия2[[#This Row],[Дата начала]]+Линия2[[#This Row],[Длительность]]</f>
        <v>46061.501602564109</v>
      </c>
      <c r="C79" s="28">
        <f t="shared" si="11"/>
        <v>1.2820512820512822</v>
      </c>
      <c r="D79" s="29">
        <v>6500</v>
      </c>
      <c r="E79" s="34" t="s">
        <v>168</v>
      </c>
      <c r="F79" s="29">
        <v>200000</v>
      </c>
      <c r="G79" s="29">
        <v>1728</v>
      </c>
      <c r="H79" s="48">
        <f>IFERROR(Линия2[[#This Row],[Количество]]/Линия2[[#This Row],[Шт. в поддоне]], "")</f>
        <v>115.74074074074075</v>
      </c>
    </row>
    <row r="80" spans="1:8" hidden="1" x14ac:dyDescent="0.25">
      <c r="A80" s="44">
        <f t="shared" si="10"/>
        <v>46061.501602564109</v>
      </c>
      <c r="B80" s="47">
        <f>Линия2[[#This Row],[Дата начала]]+Линия2[[#This Row],[Длительность]]</f>
        <v>46061.605769230773</v>
      </c>
      <c r="C80" s="28">
        <f t="shared" si="11"/>
        <v>0.10416666666666667</v>
      </c>
      <c r="D80" s="29"/>
      <c r="E80" s="34" t="s">
        <v>153</v>
      </c>
      <c r="F80" s="29"/>
      <c r="G80" s="29"/>
      <c r="H80" s="48" t="str">
        <f>IFERROR(Линия2[[#This Row],[Количество]]/Линия2[[#This Row],[Шт. в поддоне]], "")</f>
        <v/>
      </c>
    </row>
    <row r="81" spans="1:8" hidden="1" x14ac:dyDescent="0.25">
      <c r="A81" s="44">
        <f t="shared" si="10"/>
        <v>46061.605769230773</v>
      </c>
      <c r="B81" s="47">
        <f>Линия2[[#This Row],[Дата начала]]+Линия2[[#This Row],[Длительность]]</f>
        <v>46062.118589743593</v>
      </c>
      <c r="C81" s="28">
        <f t="shared" si="11"/>
        <v>0.51282051282051289</v>
      </c>
      <c r="D81" s="29">
        <v>6500</v>
      </c>
      <c r="E81" s="29" t="s">
        <v>173</v>
      </c>
      <c r="F81" s="29">
        <v>80000</v>
      </c>
      <c r="G81" s="29">
        <v>1728</v>
      </c>
      <c r="H81" s="48">
        <f>IFERROR(Линия2[[#This Row],[Количество]]/Линия2[[#This Row],[Шт. в поддоне]], "")</f>
        <v>46.296296296296298</v>
      </c>
    </row>
    <row r="82" spans="1:8" hidden="1" x14ac:dyDescent="0.25">
      <c r="A82" s="44">
        <f t="shared" si="10"/>
        <v>46062.118589743593</v>
      </c>
      <c r="B82" s="47">
        <f>Линия2[[#This Row],[Дата начала]]+Линия2[[#This Row],[Длительность]]</f>
        <v>46062.139423076929</v>
      </c>
      <c r="C82" s="28">
        <f t="shared" si="11"/>
        <v>2.0833333333333332E-2</v>
      </c>
      <c r="D82" s="34"/>
      <c r="E82" s="29" t="s">
        <v>162</v>
      </c>
      <c r="F82" s="29"/>
      <c r="G82" s="34"/>
      <c r="H82" s="48" t="str">
        <f>IFERROR(Линия2[[#This Row],[Количество]]/Линия2[[#This Row],[Шт. в поддоне]], "")</f>
        <v/>
      </c>
    </row>
    <row r="83" spans="1:8" hidden="1" x14ac:dyDescent="0.25">
      <c r="A83" s="44">
        <v>46062</v>
      </c>
      <c r="B83" s="47">
        <f>Линия2[[#This Row],[Дата начала]]+Линия2[[#This Row],[Длительность]]</f>
        <v>46063.282051282054</v>
      </c>
      <c r="C83" s="28">
        <f t="shared" si="11"/>
        <v>1.2820512820512822</v>
      </c>
      <c r="D83" s="29">
        <v>6500</v>
      </c>
      <c r="E83" s="57" t="s">
        <v>164</v>
      </c>
      <c r="F83" s="57">
        <v>200000</v>
      </c>
      <c r="G83" s="29">
        <v>1728</v>
      </c>
      <c r="H83" s="48">
        <f>IFERROR(Линия2[[#This Row],[Количество]]/Линия2[[#This Row],[Шт. в поддоне]], "")</f>
        <v>115.74074074074075</v>
      </c>
    </row>
    <row r="84" spans="1:8" hidden="1" x14ac:dyDescent="0.25">
      <c r="A84" s="44">
        <f t="shared" si="10"/>
        <v>46063.282051282054</v>
      </c>
      <c r="B84" s="47">
        <f>Линия2[[#This Row],[Дата начала]]+Линия2[[#This Row],[Длительность]]</f>
        <v>46063.386217948719</v>
      </c>
      <c r="C84" s="28">
        <f t="shared" si="11"/>
        <v>0.10416666666666667</v>
      </c>
      <c r="D84" s="34"/>
      <c r="E84" s="29" t="s">
        <v>153</v>
      </c>
      <c r="F84" s="29"/>
      <c r="G84" s="34"/>
      <c r="H84" s="48" t="str">
        <f>IFERROR(Линия2[[#This Row],[Количество]]/Линия2[[#This Row],[Шт. в поддоне]], "")</f>
        <v/>
      </c>
    </row>
    <row r="85" spans="1:8" hidden="1" x14ac:dyDescent="0.25">
      <c r="A85" s="44">
        <v>46063.333333333336</v>
      </c>
      <c r="B85" s="47">
        <f>Линия2[[#This Row],[Дата начала]]+Линия2[[#This Row],[Длительность]]</f>
        <v>46067.179487179492</v>
      </c>
      <c r="C85" s="28">
        <f t="shared" si="11"/>
        <v>3.8461538461538463</v>
      </c>
      <c r="D85" s="29">
        <v>6500</v>
      </c>
      <c r="E85" s="29" t="s">
        <v>168</v>
      </c>
      <c r="F85" s="49">
        <v>600000</v>
      </c>
      <c r="G85" s="29">
        <v>1728</v>
      </c>
      <c r="H85" s="48">
        <f>IFERROR(Линия2[[#This Row],[Количество]]/Линия2[[#This Row],[Шт. в поддоне]], "")</f>
        <v>347.22222222222223</v>
      </c>
    </row>
    <row r="86" spans="1:8" hidden="1" x14ac:dyDescent="0.25">
      <c r="A86" s="44">
        <f t="shared" ref="A86:A92" si="12">B85</f>
        <v>46067.179487179492</v>
      </c>
      <c r="B86" s="47">
        <f>Линия2[[#This Row],[Дата начала]]+Линия2[[#This Row],[Длительность]]</f>
        <v>46067.318376068382</v>
      </c>
      <c r="C86" s="28">
        <f t="shared" si="11"/>
        <v>0.1388888888888889</v>
      </c>
      <c r="D86" s="34"/>
      <c r="E86" s="34" t="s">
        <v>158</v>
      </c>
      <c r="F86" s="34"/>
      <c r="G86" s="34"/>
      <c r="H86" s="48" t="str">
        <f>IFERROR(Линия2[[#This Row],[Количество]]/Линия2[[#This Row],[Шт. в поддоне]], "")</f>
        <v/>
      </c>
    </row>
    <row r="87" spans="1:8" hidden="1" x14ac:dyDescent="0.25">
      <c r="A87" s="44">
        <f t="shared" si="12"/>
        <v>46067.318376068382</v>
      </c>
      <c r="B87" s="47">
        <f>Линия2[[#This Row],[Дата начала]]+Линия2[[#This Row],[Длительность]]</f>
        <v>46067.831196581203</v>
      </c>
      <c r="C87" s="28">
        <f t="shared" si="11"/>
        <v>0.51282051282051289</v>
      </c>
      <c r="D87" s="29">
        <v>6500</v>
      </c>
      <c r="E87" s="29" t="s">
        <v>170</v>
      </c>
      <c r="F87" s="49">
        <v>80000</v>
      </c>
      <c r="G87" s="29">
        <v>1728</v>
      </c>
      <c r="H87" s="48">
        <f>IFERROR(Линия2[[#This Row],[Количество]]/Линия2[[#This Row],[Шт. в поддоне]], "")</f>
        <v>46.296296296296298</v>
      </c>
    </row>
    <row r="88" spans="1:8" hidden="1" x14ac:dyDescent="0.25">
      <c r="A88" s="44">
        <f t="shared" si="12"/>
        <v>46067.831196581203</v>
      </c>
      <c r="B88" s="47">
        <f>Линия2[[#This Row],[Дата начала]]+Линия2[[#This Row],[Длительность]]</f>
        <v>46067.852029914538</v>
      </c>
      <c r="C88" s="28">
        <f t="shared" si="11"/>
        <v>2.0833333333333332E-2</v>
      </c>
      <c r="D88" s="34"/>
      <c r="E88" s="34" t="s">
        <v>162</v>
      </c>
      <c r="F88" s="34"/>
      <c r="G88" s="34"/>
      <c r="H88" s="48" t="str">
        <f>IFERROR(Линия2[[#This Row],[Количество]]/Линия2[[#This Row],[Шт. в поддоне]], "")</f>
        <v/>
      </c>
    </row>
    <row r="89" spans="1:8" hidden="1" x14ac:dyDescent="0.25">
      <c r="A89" s="44">
        <f t="shared" si="12"/>
        <v>46067.852029914538</v>
      </c>
      <c r="B89" s="47">
        <f>Линия2[[#This Row],[Дата начала]]+Линия2[[#This Row],[Длительность]]</f>
        <v>46068.364850427359</v>
      </c>
      <c r="C89" s="28">
        <f t="shared" si="11"/>
        <v>0.51282051282051289</v>
      </c>
      <c r="D89" s="29">
        <v>6500</v>
      </c>
      <c r="E89" s="29" t="s">
        <v>172</v>
      </c>
      <c r="F89" s="49">
        <v>80000</v>
      </c>
      <c r="G89" s="29">
        <v>1728</v>
      </c>
      <c r="H89" s="48">
        <f>IFERROR(Линия2[[#This Row],[Количество]]/Линия2[[#This Row],[Шт. в поддоне]], "")</f>
        <v>46.296296296296298</v>
      </c>
    </row>
    <row r="90" spans="1:8" hidden="1" x14ac:dyDescent="0.25">
      <c r="A90" s="44">
        <f t="shared" si="12"/>
        <v>46068.364850427359</v>
      </c>
      <c r="B90" s="47">
        <f>Линия2[[#This Row],[Дата начала]]+Линия2[[#This Row],[Длительность]]</f>
        <v>46068.385683760695</v>
      </c>
      <c r="C90" s="28">
        <f t="shared" si="11"/>
        <v>2.0833333333333332E-2</v>
      </c>
      <c r="D90" s="34"/>
      <c r="E90" s="34" t="s">
        <v>162</v>
      </c>
      <c r="F90" s="34"/>
      <c r="G90" s="34"/>
      <c r="H90" s="48" t="str">
        <f>IFERROR(Линия2[[#This Row],[Количество]]/Линия2[[#This Row],[Шт. в поддоне]], "")</f>
        <v/>
      </c>
    </row>
    <row r="91" spans="1:8" hidden="1" x14ac:dyDescent="0.25">
      <c r="A91" s="44">
        <f t="shared" si="12"/>
        <v>46068.385683760695</v>
      </c>
      <c r="B91" s="47">
        <f>Линия2[[#This Row],[Дата начала]]+Линия2[[#This Row],[Длительность]]</f>
        <v>46068.898504273515</v>
      </c>
      <c r="C91" s="28">
        <f t="shared" si="11"/>
        <v>0.51282051282051289</v>
      </c>
      <c r="D91" s="29">
        <v>6500</v>
      </c>
      <c r="E91" s="29" t="s">
        <v>171</v>
      </c>
      <c r="F91" s="49">
        <v>80000</v>
      </c>
      <c r="G91" s="29">
        <v>1728</v>
      </c>
      <c r="H91" s="48">
        <f>IFERROR(Линия2[[#This Row],[Количество]]/Линия2[[#This Row],[Шт. в поддоне]], "")</f>
        <v>46.296296296296298</v>
      </c>
    </row>
    <row r="92" spans="1:8" hidden="1" x14ac:dyDescent="0.25">
      <c r="A92" s="44">
        <f t="shared" si="12"/>
        <v>46068.898504273515</v>
      </c>
      <c r="B92" s="47">
        <f>Линия2[[#This Row],[Дата начала]]+Линия2[[#This Row],[Длительность]]</f>
        <v>46069.037393162405</v>
      </c>
      <c r="C92" s="28">
        <f t="shared" si="11"/>
        <v>0.1388888888888889</v>
      </c>
      <c r="D92" s="34"/>
      <c r="E92" s="34" t="s">
        <v>158</v>
      </c>
      <c r="F92" s="34"/>
      <c r="G92" s="34"/>
      <c r="H92" s="48" t="str">
        <f>IFERROR(Линия2[[#This Row],[Количество]]/Линия2[[#This Row],[Шт. в поддоне]], "")</f>
        <v/>
      </c>
    </row>
    <row r="93" spans="1:8" hidden="1" x14ac:dyDescent="0.25">
      <c r="A93" s="44">
        <v>46068.833333333336</v>
      </c>
      <c r="B93" s="47">
        <f>Линия2[[#This Row],[Дата начала]]+Линия2[[#This Row],[Длительность]]</f>
        <v>46069.346153846156</v>
      </c>
      <c r="C93" s="28">
        <f t="shared" si="11"/>
        <v>0.51282051282051289</v>
      </c>
      <c r="D93" s="29">
        <v>6500</v>
      </c>
      <c r="E93" s="29" t="s">
        <v>166</v>
      </c>
      <c r="F93" s="49">
        <v>80000</v>
      </c>
      <c r="G93" s="29">
        <v>1728</v>
      </c>
      <c r="H93" s="48">
        <f>IFERROR(Линия2[[#This Row],[Количество]]/Линия2[[#This Row],[Шт. в поддоне]], "")</f>
        <v>46.296296296296298</v>
      </c>
    </row>
    <row r="94" spans="1:8" hidden="1" x14ac:dyDescent="0.25">
      <c r="A94" s="44">
        <v>46069.5</v>
      </c>
      <c r="B94" s="47">
        <f>Линия2[[#This Row],[Дата начала]]+Линия2[[#This Row],[Длительность]]</f>
        <v>46069.638888888891</v>
      </c>
      <c r="C94" s="28">
        <f t="shared" si="11"/>
        <v>0.1388888888888889</v>
      </c>
      <c r="D94" s="34"/>
      <c r="E94" s="34" t="s">
        <v>158</v>
      </c>
      <c r="F94" s="34"/>
      <c r="G94" s="34"/>
      <c r="H94" s="48" t="str">
        <f>IFERROR(Линия2[[#This Row],[Количество]]/Линия2[[#This Row],[Шт. в поддоне]], "")</f>
        <v/>
      </c>
    </row>
    <row r="95" spans="1:8" hidden="1" x14ac:dyDescent="0.25">
      <c r="A95" s="44">
        <f t="shared" ref="A95:A97" si="13">B94</f>
        <v>46069.638888888891</v>
      </c>
      <c r="B95" s="47">
        <v>46072.708333333336</v>
      </c>
      <c r="C95" s="28">
        <f t="shared" si="11"/>
        <v>2.5641025641025643</v>
      </c>
      <c r="D95" s="29">
        <v>6500</v>
      </c>
      <c r="E95" s="29" t="s">
        <v>168</v>
      </c>
      <c r="F95" s="49">
        <v>400000</v>
      </c>
      <c r="G95" s="29">
        <v>1728</v>
      </c>
      <c r="H95" s="48">
        <f>IFERROR(Линия2[[#This Row],[Количество]]/Линия2[[#This Row],[Шт. в поддоне]], "")</f>
        <v>231.4814814814815</v>
      </c>
    </row>
    <row r="96" spans="1:8" hidden="1" x14ac:dyDescent="0.25">
      <c r="A96" s="44">
        <f t="shared" si="13"/>
        <v>46072.708333333336</v>
      </c>
      <c r="B96" s="47">
        <f>Линия2[[#This Row],[Дата начала]]+Линия2[[#This Row],[Длительность]]</f>
        <v>46072.8125</v>
      </c>
      <c r="C96" s="28">
        <f t="shared" si="11"/>
        <v>0.10416666666666667</v>
      </c>
      <c r="D96" s="34"/>
      <c r="E96" s="34" t="s">
        <v>153</v>
      </c>
      <c r="F96" s="34"/>
      <c r="G96" s="34"/>
      <c r="H96" s="48" t="str">
        <f>IFERROR(Линия2[[#This Row],[Количество]]/Линия2[[#This Row],[Шт. в поддоне]], "")</f>
        <v/>
      </c>
    </row>
    <row r="97" spans="1:8" hidden="1" x14ac:dyDescent="0.25">
      <c r="A97" s="44">
        <f t="shared" si="13"/>
        <v>46072.8125</v>
      </c>
      <c r="B97" s="47">
        <f>Линия2[[#This Row],[Дата начала]]+Линия2[[#This Row],[Длительность]]</f>
        <v>46073.581730769234</v>
      </c>
      <c r="C97" s="28">
        <f t="shared" si="11"/>
        <v>0.76923076923076916</v>
      </c>
      <c r="D97" s="29">
        <v>6500</v>
      </c>
      <c r="E97" s="29" t="s">
        <v>164</v>
      </c>
      <c r="F97" s="49">
        <v>120000</v>
      </c>
      <c r="G97" s="29">
        <v>1728</v>
      </c>
      <c r="H97" s="48">
        <f>IFERROR(Линия2[[#This Row],[Количество]]/Линия2[[#This Row],[Шт. в поддоне]], "")</f>
        <v>69.444444444444443</v>
      </c>
    </row>
    <row r="98" spans="1:8" x14ac:dyDescent="0.25">
      <c r="A98" s="44">
        <f>'Линия 3'!B188</f>
        <v>46081.761174324543</v>
      </c>
      <c r="B98" s="47">
        <f>Линия2[[#This Row],[Дата начала]]+Линия2[[#This Row],[Длительность]]</f>
        <v>46081.865340991208</v>
      </c>
      <c r="C98" s="28">
        <f t="shared" si="11"/>
        <v>0.10416666666666667</v>
      </c>
      <c r="D98" s="34"/>
      <c r="E98" s="34" t="s">
        <v>153</v>
      </c>
      <c r="F98" s="34"/>
      <c r="G98" s="34"/>
      <c r="H98" s="48" t="str">
        <f>IFERROR(Линия2[[#This Row],[Количество]]/Линия2[[#This Row],[Шт. в поддоне]], "")</f>
        <v/>
      </c>
    </row>
    <row r="99" spans="1:8" x14ac:dyDescent="0.25">
      <c r="A99" s="44">
        <f>B98</f>
        <v>46081.865340991208</v>
      </c>
      <c r="B99" s="47">
        <f>Линия2[[#This Row],[Дата начала]]+Линия2[[#This Row],[Длительность]]</f>
        <v>46082.634571760442</v>
      </c>
      <c r="C99" s="28">
        <f t="shared" si="11"/>
        <v>0.76923076923076916</v>
      </c>
      <c r="D99" s="29">
        <v>6500</v>
      </c>
      <c r="E99" s="29" t="s">
        <v>161</v>
      </c>
      <c r="F99" s="49">
        <v>120000</v>
      </c>
      <c r="G99" s="29">
        <v>1728</v>
      </c>
      <c r="H99" s="48">
        <f>IFERROR(Линия2[[#This Row],[Количество]]/Линия2[[#This Row],[Шт. в поддоне]], "")</f>
        <v>69.444444444444443</v>
      </c>
    </row>
    <row r="100" spans="1:8" x14ac:dyDescent="0.25">
      <c r="A100" s="44">
        <f t="shared" ref="A100:A106" si="14">B99</f>
        <v>46082.634571760442</v>
      </c>
      <c r="B100" s="47">
        <f>Линия2[[#This Row],[Дата начала]]+Линия2[[#This Row],[Длительность]]</f>
        <v>46082.738738427106</v>
      </c>
      <c r="C100" s="28">
        <f t="shared" si="11"/>
        <v>0.10416666666666667</v>
      </c>
      <c r="D100" s="29"/>
      <c r="E100" s="57" t="s">
        <v>153</v>
      </c>
      <c r="F100" s="57"/>
      <c r="G100" s="29"/>
      <c r="H100" s="48" t="str">
        <f>IFERROR(Линия2[[#This Row],[Количество]]/Линия2[[#This Row],[Шт. в поддоне]], "")</f>
        <v/>
      </c>
    </row>
    <row r="101" spans="1:8" x14ac:dyDescent="0.25">
      <c r="A101" s="44">
        <f t="shared" si="14"/>
        <v>46082.738738427106</v>
      </c>
      <c r="B101" s="47">
        <f>Линия2[[#This Row],[Дата начала]]+Линия2[[#This Row],[Длительность]]</f>
        <v>46084.02078970916</v>
      </c>
      <c r="C101" s="28">
        <f t="shared" si="11"/>
        <v>1.2820512820512822</v>
      </c>
      <c r="D101" s="29">
        <v>6500</v>
      </c>
      <c r="E101" s="29" t="s">
        <v>164</v>
      </c>
      <c r="F101" s="49">
        <v>200000</v>
      </c>
      <c r="G101" s="29">
        <v>1728</v>
      </c>
      <c r="H101" s="48">
        <f>IFERROR(Линия2[[#This Row],[Количество]]/Линия2[[#This Row],[Шт. в поддоне]], "")</f>
        <v>115.74074074074075</v>
      </c>
    </row>
    <row r="102" spans="1:8" x14ac:dyDescent="0.25">
      <c r="A102" s="44">
        <f t="shared" si="14"/>
        <v>46084.02078970916</v>
      </c>
      <c r="B102" s="47">
        <f>Линия2[[#This Row],[Дата начала]]+Линия2[[#This Row],[Длительность]]</f>
        <v>46084.041623042496</v>
      </c>
      <c r="C102" s="28">
        <f t="shared" si="11"/>
        <v>2.0833333333333332E-2</v>
      </c>
      <c r="D102" s="29"/>
      <c r="E102" s="57" t="s">
        <v>162</v>
      </c>
      <c r="F102" s="57"/>
      <c r="G102" s="29"/>
      <c r="H102" s="48" t="str">
        <f>IFERROR(Линия2[[#This Row],[Количество]]/Линия2[[#This Row],[Шт. в поддоне]], "")</f>
        <v/>
      </c>
    </row>
    <row r="103" spans="1:8" x14ac:dyDescent="0.25">
      <c r="A103" s="44">
        <f t="shared" si="14"/>
        <v>46084.041623042496</v>
      </c>
      <c r="B103" s="47">
        <f>Линия2[[#This Row],[Дата начала]]+Линия2[[#This Row],[Длительность]]</f>
        <v>46085.323674324551</v>
      </c>
      <c r="C103" s="28">
        <f>IF(E105="Вытеснение",TIME(0,30,0),
IF(E105="Передача смены",TIME(0,20,0),
IF(E105="Запуск",TIME(0,30,0),
IF(E105="Смена ассортимента",TIME(0,15,0),
IF(E105="Переналадка формата",TIME(5,0,0),
IF(E105="CIP 1",TIME(0,40,0),
IF(E105="CIP 2",TIME(2,30,0),
IF(E105="CIP 3",TIME(3,20,0),
IF(AND(ISNUMBER(F103),ISNUMBER(D103),D103&gt;0),F103/D103/24,"Ошибка")))))))))</f>
        <v>1.2820512820512822</v>
      </c>
      <c r="D103" s="29">
        <v>6500</v>
      </c>
      <c r="E103" s="29" t="s">
        <v>168</v>
      </c>
      <c r="F103" s="49">
        <v>200000</v>
      </c>
      <c r="G103" s="29">
        <v>1728</v>
      </c>
      <c r="H103" s="48">
        <f>IFERROR(Линия2[[#This Row],[Количество]]/Линия2[[#This Row],[Шт. в поддоне]], "")</f>
        <v>115.74074074074075</v>
      </c>
    </row>
    <row r="104" spans="1:8" x14ac:dyDescent="0.25">
      <c r="A104" s="44">
        <f t="shared" si="14"/>
        <v>46085.323674324551</v>
      </c>
      <c r="B104" s="47">
        <f>Линия2[[#This Row],[Дата начала]]+Линия2[[#This Row],[Длительность]]</f>
        <v>46085.462563213441</v>
      </c>
      <c r="C104" s="28">
        <f t="shared" ref="C104:C106" si="15">IF(E104="Вытеснение",TIME(0,30,0),
IF(E104="Передача смены",TIME(0,20,0),
IF(E104="Запуск",TIME(0,30,0),
IF(E104="Смена ассортимента",TIME(0,15,0),
IF(E104="Переналадка формата",TIME(5,0,0),
IF(E104="CIP 1",TIME(0,40,0),
IF(E104="CIP 2",TIME(2,30,0),
IF(E104="CIP 3",TIME(3,20,0),
IF(AND(ISNUMBER(F104),ISNUMBER(D104),D104&gt;0),F104/D104/24,"Ошибка")))))))))</f>
        <v>0.1388888888888889</v>
      </c>
      <c r="D104" s="29"/>
      <c r="E104" s="57" t="s">
        <v>158</v>
      </c>
      <c r="F104" s="57"/>
      <c r="G104" s="29"/>
      <c r="H104" s="48" t="str">
        <f>IFERROR(Линия2[[#This Row],[Количество]]/Линия2[[#This Row],[Шт. в поддоне]], "")</f>
        <v/>
      </c>
    </row>
    <row r="105" spans="1:8" x14ac:dyDescent="0.25">
      <c r="A105" s="44">
        <f t="shared" si="14"/>
        <v>46085.462563213441</v>
      </c>
      <c r="B105" s="47">
        <f>Линия2[[#This Row],[Дата начала]]+Линия2[[#This Row],[Длительность]]</f>
        <v>46086.231793982675</v>
      </c>
      <c r="C105" s="28">
        <f>IF(E103="Вытеснение",TIME(0,30,0),
IF(E103="Передача смены",TIME(0,20,0),
IF(E103="Запуск",TIME(0,30,0),
IF(E103="Смена ассортимента",TIME(0,15,0),
IF(E103="Переналадка формата",TIME(5,0,0),
IF(E103="CIP 1",TIME(0,40,0),
IF(E103="CIP 2",TIME(2,30,0),
IF(E103="CIP 3",TIME(3,20,0),
IF(AND(ISNUMBER(F105),ISNUMBER(D105),D105&gt;0),F105/D105/24,"Ошибка")))))))))</f>
        <v>0.76923076923076916</v>
      </c>
      <c r="D105" s="29">
        <v>6500</v>
      </c>
      <c r="E105" s="29" t="s">
        <v>166</v>
      </c>
      <c r="F105" s="49">
        <v>120000</v>
      </c>
      <c r="G105" s="29">
        <v>1728</v>
      </c>
      <c r="H105" s="48">
        <f>IFERROR(Линия2[[#This Row],[Количество]]/Линия2[[#This Row],[Шт. в поддоне]], "")</f>
        <v>69.444444444444443</v>
      </c>
    </row>
    <row r="106" spans="1:8" x14ac:dyDescent="0.25">
      <c r="A106" s="44">
        <f t="shared" si="14"/>
        <v>46086.231793982675</v>
      </c>
      <c r="B106" s="47">
        <f>Линия2[[#This Row],[Дата начала]]+Линия2[[#This Row],[Длительность]]</f>
        <v>46086.370682871566</v>
      </c>
      <c r="C106" s="28">
        <f t="shared" si="15"/>
        <v>0.1388888888888889</v>
      </c>
      <c r="D106" s="29"/>
      <c r="E106" s="57" t="s">
        <v>158</v>
      </c>
      <c r="F106" s="57"/>
      <c r="G106" s="29"/>
      <c r="H106" s="48" t="str">
        <f>IFERROR(Линия2[[#This Row],[Количество]]/Линия2[[#This Row],[Шт. в поддоне]], "")</f>
        <v/>
      </c>
    </row>
    <row r="111" spans="1:8" x14ac:dyDescent="0.25">
      <c r="F111"/>
    </row>
    <row r="112" spans="1:8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</sheetData>
  <mergeCells count="1">
    <mergeCell ref="A1:H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DE56-D8CC-4BD9-84D6-DF84F4B85C3C}">
  <sheetPr codeName="Лист3"/>
  <dimension ref="A1:K189"/>
  <sheetViews>
    <sheetView zoomScaleNormal="100" workbookViewId="0">
      <selection activeCell="F179" sqref="F179:F185"/>
    </sheetView>
  </sheetViews>
  <sheetFormatPr defaultRowHeight="13.8" x14ac:dyDescent="0.25"/>
  <cols>
    <col min="1" max="1" width="15.59765625" customWidth="1"/>
    <col min="2" max="2" width="19.5" customWidth="1"/>
    <col min="3" max="3" width="13.8984375" style="62" bestFit="1" customWidth="1"/>
    <col min="4" max="4" width="9.3984375" style="84" bestFit="1" customWidth="1"/>
    <col min="5" max="5" width="52.19921875" style="73" customWidth="1"/>
    <col min="6" max="6" width="11.5" bestFit="1" customWidth="1"/>
    <col min="7" max="7" width="13.8984375" bestFit="1" customWidth="1"/>
    <col min="8" max="8" width="16.59765625" bestFit="1" customWidth="1"/>
    <col min="9" max="9" width="18.69921875" bestFit="1" customWidth="1"/>
    <col min="10" max="10" width="39.69921875" customWidth="1"/>
    <col min="11" max="11" width="54.3984375" customWidth="1"/>
  </cols>
  <sheetData>
    <row r="1" spans="1:8" ht="20.399999999999999" x14ac:dyDescent="0.35">
      <c r="A1" s="161" t="s">
        <v>178</v>
      </c>
      <c r="B1" s="161"/>
      <c r="C1" s="161"/>
      <c r="D1" s="161"/>
      <c r="E1" s="161"/>
      <c r="F1" s="161"/>
      <c r="G1" s="161"/>
      <c r="H1" s="161"/>
    </row>
    <row r="2" spans="1:8" x14ac:dyDescent="0.25">
      <c r="A2" s="65" t="s">
        <v>145</v>
      </c>
      <c r="B2" s="66" t="s">
        <v>146</v>
      </c>
      <c r="C2" s="67" t="s">
        <v>147</v>
      </c>
      <c r="D2" s="68" t="s">
        <v>148</v>
      </c>
      <c r="E2" s="68" t="s">
        <v>149</v>
      </c>
      <c r="F2" s="68" t="s">
        <v>150</v>
      </c>
      <c r="G2" s="68" t="s">
        <v>151</v>
      </c>
      <c r="H2" s="69" t="s">
        <v>152</v>
      </c>
    </row>
    <row r="3" spans="1:8" hidden="1" x14ac:dyDescent="0.25">
      <c r="A3" s="70">
        <f>Линия3[[#This Row],[Дата конца]]-Линия3[[#This Row],[Длительность]]</f>
        <v>45995.798423423425</v>
      </c>
      <c r="B3" s="71">
        <v>45996.541666666664</v>
      </c>
      <c r="C3" s="28">
        <f>IF(E3="Вытеснение",TIME(0,30,0),
IF(E3="Передача смены",TIME(0,20,0),
IF(E3="Запуск",TIME(0,30,0),
IF(E3="Смена ассортимента",TIME(0,15,0),
IF(E3="Переналадка формата",TIME(5,0,0),
IF(E3="CIP 1",TIME(0,40,0),
IF(E3="CIP 2",TIME(2,30,0),
IF(E3="CIP 3",TIME(3,20,0),
IF(AND(ISNUMBER(F3),ISNUMBER(D3),D3&gt;0),F3/D3/24,"Ошибка")))))))))</f>
        <v>0.74324324324324331</v>
      </c>
      <c r="D3" s="29">
        <v>3700</v>
      </c>
      <c r="E3" s="29" t="s">
        <v>179</v>
      </c>
      <c r="F3" s="49">
        <v>66000</v>
      </c>
      <c r="G3" s="29">
        <v>756</v>
      </c>
      <c r="H3" s="48">
        <f>IFERROR(Линия3[[#This Row],[Количество]]/Линия3[[#This Row],[Шт. в поддоне]], "")</f>
        <v>87.301587301587304</v>
      </c>
    </row>
    <row r="4" spans="1:8" hidden="1" x14ac:dyDescent="0.25">
      <c r="A4" s="70">
        <f>B3</f>
        <v>45996.541666666664</v>
      </c>
      <c r="B4" s="71">
        <f>Линия3[[#This Row],[Дата начала]]+Линия3[[#This Row],[Длительность]]</f>
        <v>45996.645833333328</v>
      </c>
      <c r="C4" s="28">
        <f t="shared" ref="C4:C43" si="0">IF(E4="Вытеснение",TIME(0,30,0),
IF(E4="Передача смены",TIME(0,20,0),
IF(E4="Запуск",TIME(0,30,0),
IF(E4="Смена ассортимента",TIME(0,15,0),
IF(E4="Переналадка формата",TIME(5,0,0),
IF(E4="CIP 1",TIME(0,40,0),
IF(E4="CIP 2",TIME(2,30,0),
IF(E4="CIP 3",TIME(3,20,0),
IF(AND(ISNUMBER(F4),ISNUMBER(D4),D4&gt;0),F4/D4/24,"Ошибка")))))))))</f>
        <v>0.10416666666666667</v>
      </c>
      <c r="D4" s="29"/>
      <c r="E4" s="72" t="s">
        <v>153</v>
      </c>
      <c r="F4" s="49"/>
      <c r="G4" s="29"/>
      <c r="H4" s="48" t="str">
        <f>IFERROR(Линия3[[#This Row],[Количество]]/Линия3[[#This Row],[Шт. в поддоне]], "")</f>
        <v/>
      </c>
    </row>
    <row r="5" spans="1:8" hidden="1" x14ac:dyDescent="0.25">
      <c r="A5" s="70">
        <f t="shared" ref="A5:A34" si="1">B4</f>
        <v>45996.645833333328</v>
      </c>
      <c r="B5" s="71">
        <f>Линия3[[#This Row],[Дата начала]]+Линия3[[#This Row],[Длительность]]</f>
        <v>45997.028716216213</v>
      </c>
      <c r="C5" s="28">
        <f t="shared" si="0"/>
        <v>0.38288288288288291</v>
      </c>
      <c r="D5" s="29">
        <v>3700</v>
      </c>
      <c r="E5" s="29" t="s">
        <v>179</v>
      </c>
      <c r="F5" s="49">
        <v>34000</v>
      </c>
      <c r="G5" s="29">
        <v>756</v>
      </c>
      <c r="H5" s="48">
        <f>IFERROR(Линия3[[#This Row],[Количество]]/Линия3[[#This Row],[Шт. в поддоне]], "")</f>
        <v>44.973544973544975</v>
      </c>
    </row>
    <row r="6" spans="1:8" hidden="1" x14ac:dyDescent="0.25">
      <c r="A6" s="70">
        <f t="shared" si="1"/>
        <v>45997.028716216213</v>
      </c>
      <c r="B6" s="71">
        <f>Линия3[[#This Row],[Дата начала]]+Линия3[[#This Row],[Длительность]]</f>
        <v>45997.039132882877</v>
      </c>
      <c r="C6" s="28">
        <f t="shared" si="0"/>
        <v>1.0416666666666666E-2</v>
      </c>
      <c r="D6" s="29"/>
      <c r="E6" s="72" t="s">
        <v>180</v>
      </c>
      <c r="F6" s="49"/>
      <c r="G6" s="29"/>
      <c r="H6" s="48" t="str">
        <f>IFERROR(Линия3[[#This Row],[Количество]]/Линия3[[#This Row],[Шт. в поддоне]], "")</f>
        <v/>
      </c>
    </row>
    <row r="7" spans="1:8" hidden="1" x14ac:dyDescent="0.25">
      <c r="A7" s="70">
        <f t="shared" si="1"/>
        <v>45997.039132882877</v>
      </c>
      <c r="B7" s="71">
        <f>Линия3[[#This Row],[Дата начала]]+Линия3[[#This Row],[Длительность]]</f>
        <v>45997.410754504497</v>
      </c>
      <c r="C7" s="28">
        <f t="shared" si="0"/>
        <v>0.37162162162162166</v>
      </c>
      <c r="D7" s="29">
        <v>3700</v>
      </c>
      <c r="E7" s="29" t="s">
        <v>181</v>
      </c>
      <c r="F7" s="49">
        <v>33000</v>
      </c>
      <c r="G7" s="29">
        <v>756</v>
      </c>
      <c r="H7" s="48">
        <f>IFERROR(Линия3[[#This Row],[Количество]]/Линия3[[#This Row],[Шт. в поддоне]], "")</f>
        <v>43.650793650793652</v>
      </c>
    </row>
    <row r="8" spans="1:8" hidden="1" x14ac:dyDescent="0.25">
      <c r="A8" s="70">
        <f t="shared" si="1"/>
        <v>45997.410754504497</v>
      </c>
      <c r="B8" s="71">
        <f>Линия3[[#This Row],[Дата начала]]+Линия3[[#This Row],[Длительность]]</f>
        <v>45997.514921171161</v>
      </c>
      <c r="C8" s="28">
        <f t="shared" si="0"/>
        <v>0.10416666666666667</v>
      </c>
      <c r="D8" s="29"/>
      <c r="E8" s="72" t="s">
        <v>153</v>
      </c>
      <c r="F8" s="49"/>
      <c r="G8" s="29"/>
      <c r="H8" s="48" t="str">
        <f>IFERROR(Линия3[[#This Row],[Количество]]/Линия3[[#This Row],[Шт. в поддоне]], "")</f>
        <v/>
      </c>
    </row>
    <row r="9" spans="1:8" hidden="1" x14ac:dyDescent="0.25">
      <c r="A9" s="70">
        <f t="shared" si="1"/>
        <v>45997.514921171161</v>
      </c>
      <c r="B9" s="71">
        <f>Линия3[[#This Row],[Дата начала]]+Линия3[[#This Row],[Длительность]]</f>
        <v>45997.807713963957</v>
      </c>
      <c r="C9" s="28">
        <f t="shared" si="0"/>
        <v>0.2927927927927928</v>
      </c>
      <c r="D9" s="29">
        <v>3700</v>
      </c>
      <c r="E9" s="29" t="s">
        <v>182</v>
      </c>
      <c r="F9" s="49">
        <v>26000</v>
      </c>
      <c r="G9" s="29">
        <v>756</v>
      </c>
      <c r="H9" s="48">
        <f>IFERROR(Линия3[[#This Row],[Количество]]/Линия3[[#This Row],[Шт. в поддоне]], "")</f>
        <v>34.391534391534393</v>
      </c>
    </row>
    <row r="10" spans="1:8" hidden="1" x14ac:dyDescent="0.25">
      <c r="A10" s="70">
        <f t="shared" si="1"/>
        <v>45997.807713963957</v>
      </c>
      <c r="B10" s="71">
        <f>Линия3[[#This Row],[Дата начала]]+Линия3[[#This Row],[Длительность]]</f>
        <v>45997.911880630621</v>
      </c>
      <c r="C10" s="28">
        <f t="shared" si="0"/>
        <v>0.10416666666666667</v>
      </c>
      <c r="D10" s="29"/>
      <c r="E10" s="72" t="s">
        <v>153</v>
      </c>
      <c r="F10" s="49"/>
      <c r="G10" s="29"/>
      <c r="H10" s="48" t="str">
        <f>IFERROR(Линия3[[#This Row],[Количество]]/Линия3[[#This Row],[Шт. в поддоне]], "")</f>
        <v/>
      </c>
    </row>
    <row r="11" spans="1:8" hidden="1" x14ac:dyDescent="0.25">
      <c r="A11" s="70">
        <v>45998.166666666664</v>
      </c>
      <c r="B11" s="71">
        <f>Линия3[[#This Row],[Дата начала]]+Линия3[[#This Row],[Длительность]]</f>
        <v>45998.528985507241</v>
      </c>
      <c r="C11" s="28">
        <f t="shared" si="0"/>
        <v>0.36231884057971014</v>
      </c>
      <c r="D11" s="29">
        <v>4600</v>
      </c>
      <c r="E11" s="29" t="s">
        <v>183</v>
      </c>
      <c r="F11" s="49">
        <v>40000</v>
      </c>
      <c r="G11" s="29">
        <v>756</v>
      </c>
      <c r="H11" s="48">
        <f>IFERROR(Линия3[[#This Row],[Количество]]/Линия3[[#This Row],[Шт. в поддоне]], "")</f>
        <v>52.910052910052912</v>
      </c>
    </row>
    <row r="12" spans="1:8" hidden="1" x14ac:dyDescent="0.25">
      <c r="A12" s="70">
        <f t="shared" si="1"/>
        <v>45998.528985507241</v>
      </c>
      <c r="B12" s="71">
        <f>Линия3[[#This Row],[Дата начала]]+Линия3[[#This Row],[Длительность]]</f>
        <v>45998.633152173905</v>
      </c>
      <c r="C12" s="28">
        <f t="shared" si="0"/>
        <v>0.10416666666666667</v>
      </c>
      <c r="D12" s="29"/>
      <c r="E12" s="72" t="s">
        <v>153</v>
      </c>
      <c r="F12" s="49"/>
      <c r="G12" s="29"/>
      <c r="H12" s="48" t="str">
        <f>IFERROR(Линия3[[#This Row],[Количество]]/Линия3[[#This Row],[Шт. в поддоне]], "")</f>
        <v/>
      </c>
    </row>
    <row r="13" spans="1:8" hidden="1" x14ac:dyDescent="0.25">
      <c r="A13" s="70">
        <v>45999.020833333336</v>
      </c>
      <c r="B13" s="71">
        <f>Линия3[[#This Row],[Дата начала]]+Линия3[[#This Row],[Длительность]]</f>
        <v>45999.764076576575</v>
      </c>
      <c r="C13" s="28">
        <f t="shared" si="0"/>
        <v>0.74324324324324331</v>
      </c>
      <c r="D13" s="29">
        <v>3700</v>
      </c>
      <c r="E13" s="57" t="s">
        <v>179</v>
      </c>
      <c r="F13" s="58">
        <v>66000</v>
      </c>
      <c r="G13" s="29">
        <v>756</v>
      </c>
      <c r="H13" s="48">
        <f>IFERROR(Линия3[[#This Row],[Количество]]/Линия3[[#This Row],[Шт. в поддоне]], "")</f>
        <v>87.301587301587304</v>
      </c>
    </row>
    <row r="14" spans="1:8" hidden="1" x14ac:dyDescent="0.25">
      <c r="A14" s="70">
        <f t="shared" si="1"/>
        <v>45999.764076576575</v>
      </c>
      <c r="B14" s="71">
        <f>Линия3[[#This Row],[Дата начала]]+Линия3[[#This Row],[Длительность]]</f>
        <v>45999.86824324324</v>
      </c>
      <c r="C14" s="28">
        <f t="shared" si="0"/>
        <v>0.10416666666666667</v>
      </c>
      <c r="D14" s="29"/>
      <c r="E14" s="72" t="s">
        <v>153</v>
      </c>
      <c r="F14" s="49"/>
      <c r="G14" s="29"/>
      <c r="H14" s="48" t="str">
        <f>IFERROR(Линия3[[#This Row],[Количество]]/Линия3[[#This Row],[Шт. в поддоне]], "")</f>
        <v/>
      </c>
    </row>
    <row r="15" spans="1:8" hidden="1" x14ac:dyDescent="0.25">
      <c r="A15" s="70">
        <f t="shared" si="1"/>
        <v>45999.86824324324</v>
      </c>
      <c r="B15" s="71">
        <f>Линия3[[#This Row],[Дата начала]]+Линия3[[#This Row],[Длительность]]</f>
        <v>46000.318693693691</v>
      </c>
      <c r="C15" s="28">
        <f t="shared" si="0"/>
        <v>0.45045045045045046</v>
      </c>
      <c r="D15" s="29">
        <v>3700</v>
      </c>
      <c r="E15" s="57" t="s">
        <v>184</v>
      </c>
      <c r="F15" s="58">
        <v>40000</v>
      </c>
      <c r="G15" s="29">
        <v>756</v>
      </c>
      <c r="H15" s="48">
        <f>IFERROR(Линия3[[#This Row],[Количество]]/Линия3[[#This Row],[Шт. в поддоне]], "")</f>
        <v>52.910052910052912</v>
      </c>
    </row>
    <row r="16" spans="1:8" hidden="1" x14ac:dyDescent="0.25">
      <c r="A16" s="70">
        <f t="shared" si="1"/>
        <v>46000.318693693691</v>
      </c>
      <c r="B16" s="71">
        <f>Линия3[[#This Row],[Дата начала]]+Линия3[[#This Row],[Длительность]]</f>
        <v>46000.527027027027</v>
      </c>
      <c r="C16" s="28">
        <v>0.20833333333333334</v>
      </c>
      <c r="D16" s="29"/>
      <c r="E16" s="72" t="s">
        <v>185</v>
      </c>
      <c r="F16" s="49"/>
      <c r="G16" s="29"/>
      <c r="H16" s="48" t="str">
        <f>IFERROR(Линия3[[#This Row],[Количество]]/Линия3[[#This Row],[Шт. в поддоне]], "")</f>
        <v/>
      </c>
    </row>
    <row r="17" spans="1:11" hidden="1" x14ac:dyDescent="0.25">
      <c r="A17" s="70">
        <v>46000.604166666664</v>
      </c>
      <c r="B17" s="71">
        <f>Линия3[[#This Row],[Дата начала]]+Линия3[[#This Row],[Длительность]]</f>
        <v>46001.057065217392</v>
      </c>
      <c r="C17" s="28">
        <f t="shared" si="0"/>
        <v>0.45289855072463769</v>
      </c>
      <c r="D17" s="29">
        <v>4600</v>
      </c>
      <c r="E17" s="29" t="s">
        <v>186</v>
      </c>
      <c r="F17" s="49">
        <v>50000</v>
      </c>
      <c r="G17" s="29">
        <v>504</v>
      </c>
      <c r="H17" s="48">
        <f>IFERROR(Линия3[[#This Row],[Количество]]/Линия3[[#This Row],[Шт. в поддоне]], "")</f>
        <v>99.206349206349202</v>
      </c>
    </row>
    <row r="18" spans="1:11" hidden="1" x14ac:dyDescent="0.25">
      <c r="A18" s="70">
        <f t="shared" si="1"/>
        <v>46001.057065217392</v>
      </c>
      <c r="B18" s="71">
        <f>Линия3[[#This Row],[Дата начала]]+Линия3[[#This Row],[Длительность]]</f>
        <v>46001.161231884056</v>
      </c>
      <c r="C18" s="28">
        <f t="shared" si="0"/>
        <v>0.10416666666666667</v>
      </c>
      <c r="D18" s="29"/>
      <c r="E18" s="72" t="s">
        <v>153</v>
      </c>
      <c r="F18" s="49"/>
      <c r="G18" s="29"/>
      <c r="H18" s="48" t="str">
        <f>IFERROR(Линия3[[#This Row],[Количество]]/Линия3[[#This Row],[Шт. в поддоне]], "")</f>
        <v/>
      </c>
    </row>
    <row r="19" spans="1:11" hidden="1" x14ac:dyDescent="0.25">
      <c r="A19" s="70">
        <v>46001.479166666664</v>
      </c>
      <c r="B19" s="71">
        <f>Линия3[[#This Row],[Дата начала]]+Линия3[[#This Row],[Длительность]]</f>
        <v>46001.932065217392</v>
      </c>
      <c r="C19" s="28">
        <f t="shared" si="0"/>
        <v>0.45289855072463769</v>
      </c>
      <c r="D19" s="29">
        <v>4600</v>
      </c>
      <c r="E19" s="29" t="s">
        <v>187</v>
      </c>
      <c r="F19" s="49">
        <v>50000</v>
      </c>
      <c r="G19" s="29">
        <v>504</v>
      </c>
      <c r="H19" s="48">
        <f>IFERROR(Линия3[[#This Row],[Количество]]/Линия3[[#This Row],[Шт. в поддоне]], "")</f>
        <v>99.206349206349202</v>
      </c>
    </row>
    <row r="20" spans="1:11" hidden="1" x14ac:dyDescent="0.25">
      <c r="A20" s="70">
        <f t="shared" si="1"/>
        <v>46001.932065217392</v>
      </c>
      <c r="B20" s="71">
        <f>Линия3[[#This Row],[Дата начала]]+Линия3[[#This Row],[Длительность]]</f>
        <v>46002.070954106282</v>
      </c>
      <c r="C20" s="28">
        <f t="shared" si="0"/>
        <v>0.1388888888888889</v>
      </c>
      <c r="D20" s="29"/>
      <c r="E20" s="72" t="s">
        <v>158</v>
      </c>
      <c r="F20" s="49"/>
      <c r="G20" s="29"/>
      <c r="H20" s="48" t="str">
        <f>IFERROR(Линия3[[#This Row],[Количество]]/Линия3[[#This Row],[Шт. в поддоне]], "")</f>
        <v/>
      </c>
    </row>
    <row r="21" spans="1:11" hidden="1" x14ac:dyDescent="0.25">
      <c r="A21" s="70">
        <f t="shared" si="1"/>
        <v>46002.070954106282</v>
      </c>
      <c r="B21" s="71">
        <f>Линия3[[#This Row],[Дата начала]]+Линия3[[#This Row],[Длительность]]</f>
        <v>46002.52385265701</v>
      </c>
      <c r="C21" s="28">
        <f t="shared" si="0"/>
        <v>0.45289855072463769</v>
      </c>
      <c r="D21" s="29">
        <v>4600</v>
      </c>
      <c r="E21" s="29" t="s">
        <v>188</v>
      </c>
      <c r="F21" s="49">
        <v>50000</v>
      </c>
      <c r="G21" s="29">
        <v>504</v>
      </c>
      <c r="H21" s="48">
        <f>IFERROR(Линия3[[#This Row],[Количество]]/Линия3[[#This Row],[Шт. в поддоне]], "")</f>
        <v>99.206349206349202</v>
      </c>
    </row>
    <row r="22" spans="1:11" hidden="1" x14ac:dyDescent="0.25">
      <c r="A22" s="70">
        <f t="shared" si="1"/>
        <v>46002.52385265701</v>
      </c>
      <c r="B22" s="71">
        <f>Линия3[[#This Row],[Дата начала]]+Линия3[[#This Row],[Длительность]]</f>
        <v>46002.544685990346</v>
      </c>
      <c r="C22" s="28">
        <f t="shared" si="0"/>
        <v>2.0833333333333332E-2</v>
      </c>
      <c r="D22" s="29"/>
      <c r="E22" s="72" t="s">
        <v>189</v>
      </c>
      <c r="F22" s="49"/>
      <c r="G22" s="29"/>
      <c r="H22" s="48" t="str">
        <f>IFERROR(Линия3[[#This Row],[Количество]]/Линия3[[#This Row],[Шт. в поддоне]], "")</f>
        <v/>
      </c>
    </row>
    <row r="23" spans="1:11" hidden="1" x14ac:dyDescent="0.25">
      <c r="A23" s="70">
        <v>46003.291666666664</v>
      </c>
      <c r="B23" s="71">
        <f>Линия3[[#This Row],[Дата начала]]+Линия3[[#This Row],[Длительность]]</f>
        <v>46003.653985507241</v>
      </c>
      <c r="C23" s="28">
        <f t="shared" si="0"/>
        <v>0.36231884057971014</v>
      </c>
      <c r="D23" s="29">
        <v>4600</v>
      </c>
      <c r="E23" s="29" t="s">
        <v>190</v>
      </c>
      <c r="F23" s="49">
        <v>40000</v>
      </c>
      <c r="G23" s="29">
        <v>504</v>
      </c>
      <c r="H23" s="48">
        <f>IFERROR(Линия3[[#This Row],[Количество]]/Линия3[[#This Row],[Шт. в поддоне]], "")</f>
        <v>79.365079365079367</v>
      </c>
      <c r="J23" s="73"/>
      <c r="K23" s="74"/>
    </row>
    <row r="24" spans="1:11" hidden="1" x14ac:dyDescent="0.25">
      <c r="A24" s="70">
        <f t="shared" si="1"/>
        <v>46003.653985507241</v>
      </c>
      <c r="B24" s="71">
        <f>Линия3[[#This Row],[Дата начала]]+Линия3[[#This Row],[Длительность]]</f>
        <v>46003.758152173905</v>
      </c>
      <c r="C24" s="28">
        <f t="shared" si="0"/>
        <v>0.10416666666666667</v>
      </c>
      <c r="D24" s="29"/>
      <c r="E24" s="29" t="s">
        <v>153</v>
      </c>
      <c r="F24" s="49"/>
      <c r="G24" s="29"/>
      <c r="H24" s="48" t="str">
        <f>IFERROR(Линия3[[#This Row],[Количество]]/Линия3[[#This Row],[Шт. в поддоне]], "")</f>
        <v/>
      </c>
    </row>
    <row r="25" spans="1:11" hidden="1" x14ac:dyDescent="0.25">
      <c r="A25" s="70">
        <f t="shared" si="1"/>
        <v>46003.758152173905</v>
      </c>
      <c r="B25" s="71">
        <f>Линия3[[#This Row],[Дата начала]]+Линия3[[#This Row],[Длительность]]</f>
        <v>46004.029891304337</v>
      </c>
      <c r="C25" s="28">
        <f t="shared" si="0"/>
        <v>0.27173913043478259</v>
      </c>
      <c r="D25" s="29">
        <v>4600</v>
      </c>
      <c r="E25" s="29" t="s">
        <v>191</v>
      </c>
      <c r="F25" s="49">
        <v>30000</v>
      </c>
      <c r="G25" s="29">
        <v>504</v>
      </c>
      <c r="H25" s="48">
        <f>IFERROR(Линия3[[#This Row],[Количество]]/Линия3[[#This Row],[Шт. в поддоне]], "")</f>
        <v>59.523809523809526</v>
      </c>
      <c r="J25" s="73"/>
      <c r="K25" s="74"/>
    </row>
    <row r="26" spans="1:11" hidden="1" x14ac:dyDescent="0.25">
      <c r="A26" s="70">
        <f t="shared" si="1"/>
        <v>46004.029891304337</v>
      </c>
      <c r="B26" s="71">
        <f>Линия3[[#This Row],[Дата начала]]+Линия3[[#This Row],[Длительность]]</f>
        <v>46004.050724637673</v>
      </c>
      <c r="C26" s="28">
        <f t="shared" si="0"/>
        <v>2.0833333333333332E-2</v>
      </c>
      <c r="D26" s="29"/>
      <c r="E26" s="29" t="s">
        <v>189</v>
      </c>
      <c r="F26" s="49"/>
      <c r="G26" s="29"/>
      <c r="H26" s="48" t="str">
        <f>IFERROR(Линия3[[#This Row],[Количество]]/Линия3[[#This Row],[Шт. в поддоне]], "")</f>
        <v/>
      </c>
    </row>
    <row r="27" spans="1:11" hidden="1" x14ac:dyDescent="0.25">
      <c r="A27" s="70">
        <f t="shared" si="1"/>
        <v>46004.050724637673</v>
      </c>
      <c r="B27" s="71">
        <f>Линия3[[#This Row],[Дата начала]]+Линия3[[#This Row],[Длительность]]</f>
        <v>46004.322463768105</v>
      </c>
      <c r="C27" s="28">
        <f t="shared" si="0"/>
        <v>0.27173913043478259</v>
      </c>
      <c r="D27" s="29">
        <v>4600</v>
      </c>
      <c r="E27" s="29" t="s">
        <v>192</v>
      </c>
      <c r="F27" s="49">
        <v>30000</v>
      </c>
      <c r="G27" s="29">
        <v>504</v>
      </c>
      <c r="H27" s="48">
        <f>IFERROR(Линия3[[#This Row],[Количество]]/Линия3[[#This Row],[Шт. в поддоне]], "")</f>
        <v>59.523809523809526</v>
      </c>
      <c r="J27" s="73"/>
      <c r="K27" s="74"/>
    </row>
    <row r="28" spans="1:11" hidden="1" x14ac:dyDescent="0.25">
      <c r="A28" s="70">
        <f t="shared" si="1"/>
        <v>46004.322463768105</v>
      </c>
      <c r="B28" s="71">
        <f>Линия3[[#This Row],[Дата начала]]+Линия3[[#This Row],[Длительность]]</f>
        <v>46004.426630434769</v>
      </c>
      <c r="C28" s="28">
        <f t="shared" si="0"/>
        <v>0.10416666666666667</v>
      </c>
      <c r="D28" s="29"/>
      <c r="E28" s="29" t="s">
        <v>153</v>
      </c>
      <c r="F28" s="49"/>
      <c r="G28" s="29"/>
      <c r="H28" s="48" t="str">
        <f>IFERROR(Линия3[[#This Row],[Количество]]/Линия3[[#This Row],[Шт. в поддоне]], "")</f>
        <v/>
      </c>
    </row>
    <row r="29" spans="1:11" hidden="1" x14ac:dyDescent="0.25">
      <c r="A29" s="70">
        <f t="shared" si="1"/>
        <v>46004.426630434769</v>
      </c>
      <c r="B29" s="71">
        <f>Линия3[[#This Row],[Дата начала]]+Линия3[[#This Row],[Длительность]]</f>
        <v>46004.76446827261</v>
      </c>
      <c r="C29" s="28">
        <f t="shared" si="0"/>
        <v>0.33783783783783788</v>
      </c>
      <c r="D29" s="29">
        <v>3700</v>
      </c>
      <c r="E29" s="29" t="s">
        <v>193</v>
      </c>
      <c r="F29" s="49">
        <v>30000</v>
      </c>
      <c r="G29" s="29">
        <v>504</v>
      </c>
      <c r="H29" s="48">
        <f>IFERROR(Линия3[[#This Row],[Количество]]/Линия3[[#This Row],[Шт. в поддоне]], "")</f>
        <v>59.523809523809526</v>
      </c>
      <c r="J29" s="73"/>
      <c r="K29" s="74"/>
    </row>
    <row r="30" spans="1:11" hidden="1" x14ac:dyDescent="0.25">
      <c r="A30" s="70">
        <f t="shared" si="1"/>
        <v>46004.76446827261</v>
      </c>
      <c r="B30" s="71">
        <f>Линия3[[#This Row],[Дата начала]]+Линия3[[#This Row],[Длительность]]</f>
        <v>46004.9033571615</v>
      </c>
      <c r="C30" s="28">
        <f t="shared" si="0"/>
        <v>0.1388888888888889</v>
      </c>
      <c r="D30" s="29"/>
      <c r="E30" s="29" t="s">
        <v>158</v>
      </c>
      <c r="F30" s="49"/>
      <c r="G30" s="29"/>
      <c r="H30" s="48" t="str">
        <f>IFERROR(Линия3[[#This Row],[Количество]]/Линия3[[#This Row],[Шт. в поддоне]], "")</f>
        <v/>
      </c>
    </row>
    <row r="31" spans="1:11" hidden="1" x14ac:dyDescent="0.25">
      <c r="A31" s="70">
        <f t="shared" si="1"/>
        <v>46004.9033571615</v>
      </c>
      <c r="B31" s="71">
        <f>Линия3[[#This Row],[Дата начала]]+Линия3[[#This Row],[Длительность]]</f>
        <v>46005.466420224562</v>
      </c>
      <c r="C31" s="28">
        <f t="shared" si="0"/>
        <v>0.56306306306306309</v>
      </c>
      <c r="D31" s="29">
        <v>3700</v>
      </c>
      <c r="E31" s="29" t="s">
        <v>194</v>
      </c>
      <c r="F31" s="49">
        <v>50000</v>
      </c>
      <c r="G31" s="29">
        <v>504</v>
      </c>
      <c r="H31" s="48">
        <f>IFERROR(Линия3[[#This Row],[Количество]]/Линия3[[#This Row],[Шт. в поддоне]], "")</f>
        <v>99.206349206349202</v>
      </c>
      <c r="J31" s="73"/>
      <c r="K31" s="74"/>
    </row>
    <row r="32" spans="1:11" hidden="1" x14ac:dyDescent="0.25">
      <c r="A32" s="70">
        <f t="shared" si="1"/>
        <v>46005.466420224562</v>
      </c>
      <c r="B32" s="71">
        <f>Линия3[[#This Row],[Дата начала]]+Линия3[[#This Row],[Длительность]]</f>
        <v>46005.570586891226</v>
      </c>
      <c r="C32" s="28">
        <f t="shared" si="0"/>
        <v>0.10416666666666667</v>
      </c>
      <c r="D32" s="29"/>
      <c r="E32" s="29" t="s">
        <v>153</v>
      </c>
      <c r="F32" s="49"/>
      <c r="G32" s="29"/>
      <c r="H32" s="48" t="str">
        <f>IFERROR(Линия3[[#This Row],[Количество]]/Линия3[[#This Row],[Шт. в поддоне]], "")</f>
        <v/>
      </c>
    </row>
    <row r="33" spans="1:11" hidden="1" x14ac:dyDescent="0.25">
      <c r="A33" s="70">
        <f t="shared" si="1"/>
        <v>46005.570586891226</v>
      </c>
      <c r="B33" s="71">
        <f>Линия3[[#This Row],[Дата начала]]+Линия3[[#This Row],[Длительность]]</f>
        <v>46006.2462625669</v>
      </c>
      <c r="C33" s="28">
        <f t="shared" si="0"/>
        <v>0.67567567567567577</v>
      </c>
      <c r="D33" s="29">
        <v>3700</v>
      </c>
      <c r="E33" s="29" t="s">
        <v>195</v>
      </c>
      <c r="F33" s="49">
        <v>60000</v>
      </c>
      <c r="G33" s="29">
        <v>504</v>
      </c>
      <c r="H33" s="48">
        <f>IFERROR(Линия3[[#This Row],[Количество]]/Линия3[[#This Row],[Шт. в поддоне]], "")</f>
        <v>119.04761904761905</v>
      </c>
      <c r="J33" s="73"/>
      <c r="K33" s="74"/>
    </row>
    <row r="34" spans="1:11" hidden="1" x14ac:dyDescent="0.25">
      <c r="A34" s="70">
        <f t="shared" si="1"/>
        <v>46006.2462625669</v>
      </c>
      <c r="B34" s="71">
        <f>Линия3[[#This Row],[Дата начала]]+Линия3[[#This Row],[Длительность]]</f>
        <v>46006.38515145579</v>
      </c>
      <c r="C34" s="28">
        <f t="shared" si="0"/>
        <v>0.1388888888888889</v>
      </c>
      <c r="D34" s="29"/>
      <c r="E34" s="29" t="s">
        <v>158</v>
      </c>
      <c r="F34" s="49"/>
      <c r="G34" s="29"/>
      <c r="H34" s="48" t="str">
        <f>IFERROR(Линия3[[#This Row],[Количество]]/Линия3[[#This Row],[Шт. в поддоне]], "")</f>
        <v/>
      </c>
    </row>
    <row r="35" spans="1:11" hidden="1" x14ac:dyDescent="0.25">
      <c r="A35" s="70">
        <v>46007.469444444447</v>
      </c>
      <c r="B35" s="71">
        <f>Линия3[[#This Row],[Дата начала]]+Линия3[[#This Row],[Длительность]]</f>
        <v>46007.741183574879</v>
      </c>
      <c r="C35" s="28">
        <f t="shared" si="0"/>
        <v>0.27173913043478259</v>
      </c>
      <c r="D35" s="29">
        <v>4600</v>
      </c>
      <c r="E35" s="29" t="s">
        <v>196</v>
      </c>
      <c r="F35" s="49">
        <v>30000</v>
      </c>
      <c r="G35" s="29">
        <v>504</v>
      </c>
      <c r="H35" s="48">
        <f>IFERROR(Линия3[[#This Row],[Количество]]/Линия3[[#This Row],[Шт. в поддоне]], "")</f>
        <v>59.523809523809526</v>
      </c>
      <c r="J35" s="73"/>
      <c r="K35" s="74"/>
    </row>
    <row r="36" spans="1:11" hidden="1" x14ac:dyDescent="0.25">
      <c r="A36" s="70">
        <f>B35</f>
        <v>46007.741183574879</v>
      </c>
      <c r="B36" s="71">
        <f>Линия3[[#This Row],[Дата начала]]+Линия3[[#This Row],[Длительность]]</f>
        <v>46007.76896135266</v>
      </c>
      <c r="C36" s="28">
        <f t="shared" si="0"/>
        <v>2.7777777777777776E-2</v>
      </c>
      <c r="D36" s="29"/>
      <c r="E36" s="29" t="s">
        <v>197</v>
      </c>
      <c r="F36" s="49"/>
      <c r="G36" s="29"/>
      <c r="H36" s="48" t="str">
        <f>IFERROR(Линия3[[#This Row],[Количество]]/Линия3[[#This Row],[Шт. в поддоне]], "")</f>
        <v/>
      </c>
    </row>
    <row r="37" spans="1:11" hidden="1" x14ac:dyDescent="0.25">
      <c r="A37" s="70">
        <v>46008</v>
      </c>
      <c r="B37" s="71">
        <f>Линия3[[#This Row],[Дата начала]]+Линия3[[#This Row],[Длительность]]</f>
        <v>46008.271739130432</v>
      </c>
      <c r="C37" s="28">
        <f t="shared" si="0"/>
        <v>0.27173913043478259</v>
      </c>
      <c r="D37" s="29">
        <v>4600</v>
      </c>
      <c r="E37" s="29" t="s">
        <v>198</v>
      </c>
      <c r="F37" s="49">
        <v>30000</v>
      </c>
      <c r="G37" s="29">
        <v>504</v>
      </c>
      <c r="H37" s="48">
        <f>IFERROR(Линия3[[#This Row],[Количество]]/Линия3[[#This Row],[Шт. в поддоне]], "")</f>
        <v>59.523809523809526</v>
      </c>
    </row>
    <row r="38" spans="1:11" hidden="1" x14ac:dyDescent="0.25">
      <c r="A38" s="70">
        <f>B37</f>
        <v>46008.271739130432</v>
      </c>
      <c r="B38" s="71">
        <f>Линия3[[#This Row],[Дата начала]]+Линия3[[#This Row],[Длительность]]</f>
        <v>46008.375905797096</v>
      </c>
      <c r="C38" s="28">
        <f t="shared" si="0"/>
        <v>0.10416666666666667</v>
      </c>
      <c r="D38" s="29"/>
      <c r="E38" s="29" t="s">
        <v>153</v>
      </c>
      <c r="F38" s="49"/>
      <c r="G38" s="29"/>
      <c r="H38" s="48" t="str">
        <f>IFERROR(Линия3[[#This Row],[Количество]]/Линия3[[#This Row],[Шт. в поддоне]], "")</f>
        <v/>
      </c>
    </row>
    <row r="39" spans="1:11" hidden="1" x14ac:dyDescent="0.25">
      <c r="A39" s="70">
        <v>46008.875</v>
      </c>
      <c r="B39" s="71">
        <f>Линия3[[#This Row],[Дата начала]]+Линия3[[#This Row],[Длительность]]</f>
        <v>46009.325450450451</v>
      </c>
      <c r="C39" s="28">
        <f t="shared" si="0"/>
        <v>0.45045045045045046</v>
      </c>
      <c r="D39" s="29">
        <v>3700</v>
      </c>
      <c r="E39" s="29" t="s">
        <v>186</v>
      </c>
      <c r="F39" s="49">
        <v>40000</v>
      </c>
      <c r="G39" s="29">
        <v>504</v>
      </c>
      <c r="H39" s="48">
        <f>IFERROR(Линия3[[#This Row],[Количество]]/Линия3[[#This Row],[Шт. в поддоне]], "")</f>
        <v>79.365079365079367</v>
      </c>
    </row>
    <row r="40" spans="1:11" hidden="1" x14ac:dyDescent="0.25">
      <c r="A40" s="70">
        <f t="shared" ref="A40:A74" si="2">B39</f>
        <v>46009.325450450451</v>
      </c>
      <c r="B40" s="71">
        <f>Линия3[[#This Row],[Дата начала]]+Линия3[[#This Row],[Длительность]]</f>
        <v>46009.450450450451</v>
      </c>
      <c r="C40" s="28">
        <v>0.125</v>
      </c>
      <c r="D40" s="29"/>
      <c r="E40" s="29" t="s">
        <v>199</v>
      </c>
      <c r="F40" s="49"/>
      <c r="G40" s="29"/>
      <c r="H40" s="48" t="str">
        <f>IFERROR(Линия3[[#This Row],[Количество]]/Линия3[[#This Row],[Шт. в поддоне]], "")</f>
        <v/>
      </c>
    </row>
    <row r="41" spans="1:11" hidden="1" x14ac:dyDescent="0.25">
      <c r="A41" s="70">
        <f t="shared" si="2"/>
        <v>46009.450450450451</v>
      </c>
      <c r="B41" s="71">
        <f>Линия3[[#This Row],[Дата начала]]+Линия3[[#This Row],[Длительность]]</f>
        <v>46009.788288288291</v>
      </c>
      <c r="C41" s="28">
        <f t="shared" si="0"/>
        <v>0.33783783783783788</v>
      </c>
      <c r="D41" s="29">
        <v>3700</v>
      </c>
      <c r="E41" s="57" t="s">
        <v>200</v>
      </c>
      <c r="F41" s="49">
        <v>30000</v>
      </c>
      <c r="G41" s="29">
        <v>480</v>
      </c>
      <c r="H41" s="48">
        <f>IFERROR(Линия3[[#This Row],[Количество]]/Линия3[[#This Row],[Шт. в поддоне]], "")</f>
        <v>62.5</v>
      </c>
    </row>
    <row r="42" spans="1:11" hidden="1" x14ac:dyDescent="0.25">
      <c r="A42" s="70">
        <f t="shared" si="2"/>
        <v>46009.788288288291</v>
      </c>
      <c r="B42" s="71">
        <f>Линия3[[#This Row],[Дата начала]]+Линия3[[#This Row],[Длительность]]</f>
        <v>46009.798704954956</v>
      </c>
      <c r="C42" s="28">
        <f t="shared" si="0"/>
        <v>1.0416666666666666E-2</v>
      </c>
      <c r="D42" s="29"/>
      <c r="E42" s="29" t="s">
        <v>180</v>
      </c>
      <c r="F42" s="49"/>
      <c r="G42" s="29"/>
      <c r="H42" s="48" t="str">
        <f>IFERROR(Линия3[[#This Row],[Количество]]/Линия3[[#This Row],[Шт. в поддоне]], "")</f>
        <v/>
      </c>
    </row>
    <row r="43" spans="1:11" hidden="1" x14ac:dyDescent="0.25">
      <c r="A43" s="70">
        <f t="shared" si="2"/>
        <v>46009.798704954956</v>
      </c>
      <c r="B43" s="71">
        <f>Линия3[[#This Row],[Дата начала]]+Линия3[[#This Row],[Длительность]]</f>
        <v>46010.136542792796</v>
      </c>
      <c r="C43" s="28">
        <f t="shared" si="0"/>
        <v>0.33783783783783788</v>
      </c>
      <c r="D43" s="29">
        <v>3700</v>
      </c>
      <c r="E43" s="29" t="s">
        <v>201</v>
      </c>
      <c r="F43" s="49">
        <v>30000</v>
      </c>
      <c r="G43" s="29">
        <v>480</v>
      </c>
      <c r="H43" s="48">
        <f>IFERROR(Линия3[[#This Row],[Количество]]/Линия3[[#This Row],[Шт. в поддоне]], "")</f>
        <v>62.5</v>
      </c>
    </row>
    <row r="44" spans="1:11" hidden="1" x14ac:dyDescent="0.25">
      <c r="A44" s="70">
        <f t="shared" si="2"/>
        <v>46010.136542792796</v>
      </c>
      <c r="B44" s="71">
        <f>Линия3[[#This Row],[Дата начала]]+Линия3[[#This Row],[Длительность]]</f>
        <v>46010.344876126132</v>
      </c>
      <c r="C44" s="28">
        <v>0.20833333333333334</v>
      </c>
      <c r="D44" s="29"/>
      <c r="E44" s="29" t="s">
        <v>202</v>
      </c>
      <c r="F44" s="49"/>
      <c r="G44" s="29"/>
      <c r="H44" s="48" t="str">
        <f>IFERROR(Линия3[[#This Row],[Количество]]/Линия3[[#This Row],[Шт. в поддоне]], "")</f>
        <v/>
      </c>
    </row>
    <row r="45" spans="1:11" hidden="1" x14ac:dyDescent="0.25">
      <c r="A45" s="70">
        <v>46010.75</v>
      </c>
      <c r="B45" s="71">
        <f>Линия3[[#This Row],[Дата начала]]+Линия3[[#This Row],[Длительность]]</f>
        <v>46011.313063063062</v>
      </c>
      <c r="C45" s="28">
        <f t="shared" ref="C45:C73" si="3">IF(E45="Вытеснение",TIME(0,30,0),
IF(E45="Передача смены",TIME(0,20,0),
IF(E45="Запуск",TIME(0,30,0),
IF(E45="Смена ассортимента",TIME(0,15,0),
IF(E45="Переналадка формата",TIME(5,0,0),
IF(E45="CIP 1",TIME(0,40,0),
IF(E45="CIP 2",TIME(2,30,0),
IF(E45="CIP 3",TIME(3,20,0),
IF(AND(ISNUMBER(F45),ISNUMBER(D45),D45&gt;0),F45/D45/24,"Ошибка")))))))))</f>
        <v>0.56306306306306309</v>
      </c>
      <c r="D45" s="29">
        <v>3700</v>
      </c>
      <c r="E45" s="29" t="s">
        <v>203</v>
      </c>
      <c r="F45" s="49">
        <v>50000</v>
      </c>
      <c r="G45" s="29">
        <v>756</v>
      </c>
      <c r="H45" s="48">
        <f>IFERROR(Линия3[[#This Row],[Количество]]/Линия3[[#This Row],[Шт. в поддоне]], "")</f>
        <v>66.137566137566139</v>
      </c>
    </row>
    <row r="46" spans="1:11" hidden="1" x14ac:dyDescent="0.25">
      <c r="A46" s="70">
        <f t="shared" si="2"/>
        <v>46011.313063063062</v>
      </c>
      <c r="B46" s="71">
        <f>Линия3[[#This Row],[Дата начала]]+Линия3[[#This Row],[Длительность]]</f>
        <v>46011.417229729726</v>
      </c>
      <c r="C46" s="28">
        <f t="shared" si="3"/>
        <v>0.10416666666666667</v>
      </c>
      <c r="D46" s="29"/>
      <c r="E46" s="29" t="s">
        <v>153</v>
      </c>
      <c r="F46" s="49"/>
      <c r="G46" s="29"/>
      <c r="H46" s="48" t="str">
        <f>IFERROR(Линия3[[#This Row],[Количество]]/Линия3[[#This Row],[Шт. в поддоне]], "")</f>
        <v/>
      </c>
    </row>
    <row r="47" spans="1:11" hidden="1" x14ac:dyDescent="0.25">
      <c r="A47" s="70">
        <f t="shared" si="2"/>
        <v>46011.417229729726</v>
      </c>
      <c r="B47" s="71">
        <f>Линия3[[#This Row],[Дата начала]]+Линия3[[#This Row],[Длительность]]</f>
        <v>46012.318130630629</v>
      </c>
      <c r="C47" s="28">
        <f t="shared" si="3"/>
        <v>0.90090090090090091</v>
      </c>
      <c r="D47" s="29">
        <v>3700</v>
      </c>
      <c r="E47" s="29" t="s">
        <v>204</v>
      </c>
      <c r="F47" s="49">
        <v>80000</v>
      </c>
      <c r="G47" s="29">
        <v>756</v>
      </c>
      <c r="H47" s="48">
        <f>IFERROR(Линия3[[#This Row],[Количество]]/Линия3[[#This Row],[Шт. в поддоне]], "")</f>
        <v>105.82010582010582</v>
      </c>
    </row>
    <row r="48" spans="1:11" hidden="1" x14ac:dyDescent="0.25">
      <c r="A48" s="70">
        <f t="shared" si="2"/>
        <v>46012.318130630629</v>
      </c>
      <c r="B48" s="71">
        <f>Линия3[[#This Row],[Дата начала]]+Линия3[[#This Row],[Длительность]]</f>
        <v>46012.422297297293</v>
      </c>
      <c r="C48" s="28">
        <f t="shared" si="3"/>
        <v>0.10416666666666667</v>
      </c>
      <c r="D48" s="29"/>
      <c r="E48" s="29" t="s">
        <v>153</v>
      </c>
      <c r="F48" s="49"/>
      <c r="G48" s="29"/>
      <c r="H48" s="48" t="str">
        <f>IFERROR(Линия3[[#This Row],[Количество]]/Линия3[[#This Row],[Шт. в поддоне]], "")</f>
        <v/>
      </c>
    </row>
    <row r="49" spans="1:10" hidden="1" x14ac:dyDescent="0.25">
      <c r="A49" s="70">
        <f t="shared" si="2"/>
        <v>46012.422297297293</v>
      </c>
      <c r="B49" s="71">
        <f>Линия3[[#This Row],[Дата начала]]+Линия3[[#This Row],[Длительность]]</f>
        <v>46013.165540540533</v>
      </c>
      <c r="C49" s="28">
        <f t="shared" si="3"/>
        <v>0.74324324324324331</v>
      </c>
      <c r="D49" s="29">
        <v>3700</v>
      </c>
      <c r="E49" s="29" t="s">
        <v>179</v>
      </c>
      <c r="F49" s="49">
        <v>66000</v>
      </c>
      <c r="G49" s="29">
        <v>756</v>
      </c>
      <c r="H49" s="48">
        <f>IFERROR(Линия3[[#This Row],[Количество]]/Линия3[[#This Row],[Шт. в поддоне]], "")</f>
        <v>87.301587301587304</v>
      </c>
    </row>
    <row r="50" spans="1:10" hidden="1" x14ac:dyDescent="0.25">
      <c r="A50" s="70">
        <f t="shared" si="2"/>
        <v>46013.165540540533</v>
      </c>
      <c r="B50" s="71">
        <f>Линия3[[#This Row],[Дата начала]]+Линия3[[#This Row],[Длительность]]</f>
        <v>46013.269707207197</v>
      </c>
      <c r="C50" s="28">
        <f t="shared" si="3"/>
        <v>0.10416666666666667</v>
      </c>
      <c r="D50" s="29"/>
      <c r="E50" s="29" t="s">
        <v>153</v>
      </c>
      <c r="F50" s="49"/>
      <c r="G50" s="29"/>
      <c r="H50" s="48" t="str">
        <f>IFERROR(Линия3[[#This Row],[Количество]]/Линия3[[#This Row],[Шт. в поддоне]], "")</f>
        <v/>
      </c>
    </row>
    <row r="51" spans="1:10" hidden="1" x14ac:dyDescent="0.25">
      <c r="A51" s="70">
        <f t="shared" si="2"/>
        <v>46013.269707207197</v>
      </c>
      <c r="B51" s="71">
        <f>Линия3[[#This Row],[Дата начала]]+Линия3[[#This Row],[Длительность]]</f>
        <v>46014.012950450437</v>
      </c>
      <c r="C51" s="28">
        <f t="shared" si="3"/>
        <v>0.74324324324324331</v>
      </c>
      <c r="D51" s="29">
        <v>3700</v>
      </c>
      <c r="E51" s="29" t="s">
        <v>181</v>
      </c>
      <c r="F51" s="49">
        <v>66000</v>
      </c>
      <c r="G51" s="29">
        <v>756</v>
      </c>
      <c r="H51" s="48">
        <f>IFERROR(Линия3[[#This Row],[Количество]]/Линия3[[#This Row],[Шт. в поддоне]], "")</f>
        <v>87.301587301587304</v>
      </c>
    </row>
    <row r="52" spans="1:10" hidden="1" x14ac:dyDescent="0.25">
      <c r="A52" s="70">
        <f t="shared" si="2"/>
        <v>46014.012950450437</v>
      </c>
      <c r="B52" s="71">
        <f>Линия3[[#This Row],[Дата начала]]+Линия3[[#This Row],[Длительность]]</f>
        <v>46014.221283783772</v>
      </c>
      <c r="C52" s="28">
        <v>0.20833333333333334</v>
      </c>
      <c r="D52" s="29"/>
      <c r="E52" s="29" t="s">
        <v>205</v>
      </c>
      <c r="F52" s="49"/>
      <c r="G52" s="29"/>
      <c r="H52" s="48" t="str">
        <f>IFERROR(Линия3[[#This Row],[Количество]]/Линия3[[#This Row],[Шт. в поддоне]], "")</f>
        <v/>
      </c>
      <c r="J52" s="73"/>
    </row>
    <row r="53" spans="1:10" hidden="1" x14ac:dyDescent="0.25">
      <c r="A53" s="70">
        <v>46014.541666666664</v>
      </c>
      <c r="B53" s="71">
        <f>Линия3[[#This Row],[Дата начала]]+Линия3[[#This Row],[Длительность]]</f>
        <v>46014.994565217392</v>
      </c>
      <c r="C53" s="28">
        <f t="shared" si="3"/>
        <v>0.45289855072463769</v>
      </c>
      <c r="D53" s="29">
        <v>4600</v>
      </c>
      <c r="E53" s="57" t="s">
        <v>194</v>
      </c>
      <c r="F53" s="58">
        <v>50000</v>
      </c>
      <c r="G53" s="29">
        <v>480</v>
      </c>
      <c r="H53" s="48">
        <f>IFERROR(Линия3[[#This Row],[Количество]]/Линия3[[#This Row],[Шт. в поддоне]], "")</f>
        <v>104.16666666666667</v>
      </c>
    </row>
    <row r="54" spans="1:10" hidden="1" x14ac:dyDescent="0.25">
      <c r="A54" s="70">
        <v>46015.4375</v>
      </c>
      <c r="B54" s="71">
        <f>Линия3[[#This Row],[Дата начала]]+Линия3[[#This Row],[Длительность]]</f>
        <v>46015.541666666664</v>
      </c>
      <c r="C54" s="28">
        <f t="shared" si="3"/>
        <v>0.10416666666666667</v>
      </c>
      <c r="D54" s="29"/>
      <c r="E54" s="29" t="s">
        <v>153</v>
      </c>
      <c r="F54" s="49"/>
      <c r="G54" s="29"/>
      <c r="H54" s="48" t="str">
        <f>IFERROR(Линия3[[#This Row],[Количество]]/Линия3[[#This Row],[Шт. в поддоне]], "")</f>
        <v/>
      </c>
    </row>
    <row r="55" spans="1:10" hidden="1" x14ac:dyDescent="0.25">
      <c r="A55" s="70">
        <v>46016.208333333336</v>
      </c>
      <c r="B55" s="71">
        <f>Линия3[[#This Row],[Дата начала]]+Линия3[[#This Row],[Длительность]]</f>
        <v>46016.661231884063</v>
      </c>
      <c r="C55" s="28">
        <f t="shared" si="3"/>
        <v>0.45289855072463769</v>
      </c>
      <c r="D55" s="29">
        <v>4600</v>
      </c>
      <c r="E55" s="29" t="s">
        <v>188</v>
      </c>
      <c r="F55" s="49">
        <v>50000</v>
      </c>
      <c r="G55" s="29">
        <v>504</v>
      </c>
      <c r="H55" s="48">
        <f>IFERROR(Линия3[[#This Row],[Количество]]/Линия3[[#This Row],[Шт. в поддоне]], "")</f>
        <v>99.206349206349202</v>
      </c>
    </row>
    <row r="56" spans="1:10" hidden="1" x14ac:dyDescent="0.25">
      <c r="A56" s="70">
        <f t="shared" si="2"/>
        <v>46016.661231884063</v>
      </c>
      <c r="B56" s="71">
        <f>Линия3[[#This Row],[Дата начала]]+Линия3[[#This Row],[Длительность]]</f>
        <v>46016.765398550728</v>
      </c>
      <c r="C56" s="28">
        <f t="shared" si="3"/>
        <v>0.10416666666666667</v>
      </c>
      <c r="D56" s="29"/>
      <c r="E56" s="29" t="s">
        <v>153</v>
      </c>
      <c r="F56" s="49"/>
      <c r="G56" s="29"/>
      <c r="H56" s="48" t="str">
        <f>IFERROR(Линия3[[#This Row],[Количество]]/Линия3[[#This Row],[Шт. в поддоне]], "")</f>
        <v/>
      </c>
    </row>
    <row r="57" spans="1:10" hidden="1" x14ac:dyDescent="0.25">
      <c r="A57" s="70">
        <f t="shared" si="2"/>
        <v>46016.765398550728</v>
      </c>
      <c r="B57" s="71">
        <f>Линия3[[#This Row],[Дата начала]]+Линия3[[#This Row],[Длительность]]</f>
        <v>46017.218297101455</v>
      </c>
      <c r="C57" s="28">
        <f t="shared" si="3"/>
        <v>0.45289855072463769</v>
      </c>
      <c r="D57" s="29">
        <v>4600</v>
      </c>
      <c r="E57" s="29" t="s">
        <v>195</v>
      </c>
      <c r="F57" s="49">
        <v>50000</v>
      </c>
      <c r="G57" s="29">
        <v>504</v>
      </c>
      <c r="H57" s="48">
        <f>IFERROR(Линия3[[#This Row],[Количество]]/Линия3[[#This Row],[Шт. в поддоне]], "")</f>
        <v>99.206349206349202</v>
      </c>
    </row>
    <row r="58" spans="1:10" hidden="1" x14ac:dyDescent="0.25">
      <c r="A58" s="70">
        <f t="shared" si="2"/>
        <v>46017.218297101455</v>
      </c>
      <c r="B58" s="71">
        <f>Линия3[[#This Row],[Дата начала]]+Линия3[[#This Row],[Длительность]]</f>
        <v>46017.426630434791</v>
      </c>
      <c r="C58" s="28">
        <v>0.20833333333333334</v>
      </c>
      <c r="D58" s="29"/>
      <c r="E58" s="29" t="s">
        <v>206</v>
      </c>
      <c r="F58" s="29"/>
      <c r="G58" s="29"/>
      <c r="H58" s="48" t="str">
        <f>IFERROR(Линия3[[#This Row],[Количество]]/Линия3[[#This Row],[Шт. в поддоне]], "")</f>
        <v/>
      </c>
    </row>
    <row r="59" spans="1:10" hidden="1" x14ac:dyDescent="0.25">
      <c r="A59" s="70">
        <f t="shared" si="2"/>
        <v>46017.426630434791</v>
      </c>
      <c r="B59" s="71">
        <f>Линия3[[#This Row],[Дата начала]]+Линия3[[#This Row],[Длительность]]</f>
        <v>46017.517210144935</v>
      </c>
      <c r="C59" s="28">
        <f t="shared" si="3"/>
        <v>9.0579710144927536E-2</v>
      </c>
      <c r="D59" s="29">
        <v>4600</v>
      </c>
      <c r="E59" s="29" t="s">
        <v>207</v>
      </c>
      <c r="F59" s="49">
        <v>10000</v>
      </c>
      <c r="G59" s="29">
        <v>480</v>
      </c>
      <c r="H59" s="48">
        <f>IFERROR(Линия3[[#This Row],[Количество]]/Линия3[[#This Row],[Шт. в поддоне]], "")</f>
        <v>20.833333333333332</v>
      </c>
    </row>
    <row r="60" spans="1:10" hidden="1" x14ac:dyDescent="0.25">
      <c r="A60" s="70">
        <f t="shared" si="2"/>
        <v>46017.517210144935</v>
      </c>
      <c r="B60" s="71">
        <f>Линия3[[#This Row],[Дата начала]]+Линия3[[#This Row],[Длительность]]</f>
        <v>46017.527626811599</v>
      </c>
      <c r="C60" s="28">
        <f t="shared" si="3"/>
        <v>1.0416666666666666E-2</v>
      </c>
      <c r="D60" s="29"/>
      <c r="E60" s="29" t="s">
        <v>180</v>
      </c>
      <c r="F60" s="49"/>
      <c r="G60" s="29"/>
      <c r="H60" s="48" t="str">
        <f>IFERROR(Линия3[[#This Row],[Количество]]/Линия3[[#This Row],[Шт. в поддоне]], "")</f>
        <v/>
      </c>
    </row>
    <row r="61" spans="1:10" hidden="1" x14ac:dyDescent="0.25">
      <c r="A61" s="70">
        <f t="shared" si="2"/>
        <v>46017.527626811599</v>
      </c>
      <c r="B61" s="71">
        <f>Линия3[[#This Row],[Дата начала]]+Линия3[[#This Row],[Длительность]]</f>
        <v>46017.799365942032</v>
      </c>
      <c r="C61" s="28">
        <f t="shared" si="3"/>
        <v>0.27173913043478259</v>
      </c>
      <c r="D61" s="29">
        <v>4600</v>
      </c>
      <c r="E61" s="29" t="s">
        <v>208</v>
      </c>
      <c r="F61" s="49">
        <v>30000</v>
      </c>
      <c r="G61" s="29">
        <v>480</v>
      </c>
      <c r="H61" s="48">
        <f>IFERROR(Линия3[[#This Row],[Количество]]/Линия3[[#This Row],[Шт. в поддоне]], "")</f>
        <v>62.5</v>
      </c>
    </row>
    <row r="62" spans="1:10" hidden="1" x14ac:dyDescent="0.25">
      <c r="A62" s="70">
        <f t="shared" si="2"/>
        <v>46017.799365942032</v>
      </c>
      <c r="B62" s="71">
        <f>Линия3[[#This Row],[Дата начала]]+Линия3[[#This Row],[Длительность]]</f>
        <v>46017.809782608696</v>
      </c>
      <c r="C62" s="28">
        <f t="shared" si="3"/>
        <v>1.0416666666666666E-2</v>
      </c>
      <c r="D62" s="29"/>
      <c r="E62" s="29" t="s">
        <v>180</v>
      </c>
      <c r="F62" s="49"/>
      <c r="G62" s="29"/>
      <c r="H62" s="48" t="str">
        <f>IFERROR(Линия3[[#This Row],[Количество]]/Линия3[[#This Row],[Шт. в поддоне]], "")</f>
        <v/>
      </c>
    </row>
    <row r="63" spans="1:10" hidden="1" x14ac:dyDescent="0.25">
      <c r="A63" s="70">
        <f t="shared" si="2"/>
        <v>46017.809782608696</v>
      </c>
      <c r="B63" s="71">
        <f>Линия3[[#This Row],[Дата начала]]+Линия3[[#This Row],[Длительность]]</f>
        <v>46018.172101449272</v>
      </c>
      <c r="C63" s="28">
        <f t="shared" si="3"/>
        <v>0.36231884057971014</v>
      </c>
      <c r="D63" s="29">
        <v>4600</v>
      </c>
      <c r="E63" s="29" t="s">
        <v>209</v>
      </c>
      <c r="F63" s="49">
        <v>40000</v>
      </c>
      <c r="G63" s="29">
        <v>480</v>
      </c>
      <c r="H63" s="48">
        <f>IFERROR(Линия3[[#This Row],[Количество]]/Линия3[[#This Row],[Шт. в поддоне]], "")</f>
        <v>83.333333333333329</v>
      </c>
    </row>
    <row r="64" spans="1:10" hidden="1" x14ac:dyDescent="0.25">
      <c r="A64" s="70">
        <f t="shared" si="2"/>
        <v>46018.172101449272</v>
      </c>
      <c r="B64" s="71">
        <f>Линия3[[#This Row],[Дата начала]]+Линия3[[#This Row],[Длительность]]</f>
        <v>46018.310990338163</v>
      </c>
      <c r="C64" s="28">
        <f t="shared" si="3"/>
        <v>0.1388888888888889</v>
      </c>
      <c r="D64" s="29"/>
      <c r="E64" s="29" t="s">
        <v>158</v>
      </c>
      <c r="F64" s="49"/>
      <c r="G64" s="29"/>
      <c r="H64" s="48" t="str">
        <f>IFERROR(Линия3[[#This Row],[Количество]]/Линия3[[#This Row],[Шт. в поддоне]], "")</f>
        <v/>
      </c>
    </row>
    <row r="65" spans="1:8" hidden="1" x14ac:dyDescent="0.25">
      <c r="A65" s="70">
        <f t="shared" si="2"/>
        <v>46018.310990338163</v>
      </c>
      <c r="B65" s="71">
        <f>Линия3[[#This Row],[Дата начала]]+Линия3[[#This Row],[Длительность]]</f>
        <v>46018.492149758451</v>
      </c>
      <c r="C65" s="28">
        <f t="shared" si="3"/>
        <v>0.18115942028985507</v>
      </c>
      <c r="D65" s="29">
        <v>4600</v>
      </c>
      <c r="E65" s="29" t="s">
        <v>210</v>
      </c>
      <c r="F65" s="49">
        <v>20000</v>
      </c>
      <c r="G65" s="29">
        <v>480</v>
      </c>
      <c r="H65" s="48">
        <f>IFERROR(Линия3[[#This Row],[Количество]]/Линия3[[#This Row],[Шт. в поддоне]], "")</f>
        <v>41.666666666666664</v>
      </c>
    </row>
    <row r="66" spans="1:8" hidden="1" x14ac:dyDescent="0.25">
      <c r="A66" s="70">
        <f t="shared" si="2"/>
        <v>46018.492149758451</v>
      </c>
      <c r="B66" s="71">
        <f>Линия3[[#This Row],[Дата начала]]+Линия3[[#This Row],[Длительность]]</f>
        <v>46018.502566425115</v>
      </c>
      <c r="C66" s="28">
        <f t="shared" si="3"/>
        <v>1.0416666666666666E-2</v>
      </c>
      <c r="D66" s="29"/>
      <c r="E66" s="29" t="s">
        <v>180</v>
      </c>
      <c r="F66" s="49"/>
      <c r="G66" s="29"/>
      <c r="H66" s="48" t="str">
        <f>IFERROR(Линия3[[#This Row],[Количество]]/Линия3[[#This Row],[Шт. в поддоне]], "")</f>
        <v/>
      </c>
    </row>
    <row r="67" spans="1:8" hidden="1" x14ac:dyDescent="0.25">
      <c r="A67" s="70">
        <f t="shared" si="2"/>
        <v>46018.502566425115</v>
      </c>
      <c r="B67" s="71">
        <f>Линия3[[#This Row],[Дата начала]]+Линия3[[#This Row],[Длительность]]</f>
        <v>46018.774305555547</v>
      </c>
      <c r="C67" s="28">
        <f t="shared" si="3"/>
        <v>0.27173913043478259</v>
      </c>
      <c r="D67" s="29">
        <v>4600</v>
      </c>
      <c r="E67" s="29" t="s">
        <v>211</v>
      </c>
      <c r="F67" s="49">
        <v>30000</v>
      </c>
      <c r="G67" s="29">
        <v>480</v>
      </c>
      <c r="H67" s="48">
        <f>IFERROR(Линия3[[#This Row],[Количество]]/Линия3[[#This Row],[Шт. в поддоне]], "")</f>
        <v>62.5</v>
      </c>
    </row>
    <row r="68" spans="1:8" hidden="1" x14ac:dyDescent="0.25">
      <c r="A68" s="70">
        <f t="shared" si="2"/>
        <v>46018.774305555547</v>
      </c>
      <c r="B68" s="71">
        <f>Линия3[[#This Row],[Дата начала]]+Линия3[[#This Row],[Длительность]]</f>
        <v>46018.878472222212</v>
      </c>
      <c r="C68" s="28">
        <f t="shared" si="3"/>
        <v>0.10416666666666667</v>
      </c>
      <c r="D68" s="29"/>
      <c r="E68" s="29" t="s">
        <v>153</v>
      </c>
      <c r="F68" s="49"/>
      <c r="G68" s="29"/>
      <c r="H68" s="48" t="str">
        <f>IFERROR(Линия3[[#This Row],[Количество]]/Линия3[[#This Row],[Шт. в поддоне]], "")</f>
        <v/>
      </c>
    </row>
    <row r="69" spans="1:8" hidden="1" x14ac:dyDescent="0.25">
      <c r="A69" s="70">
        <v>46020</v>
      </c>
      <c r="B69" s="71">
        <f>Линия3[[#This Row],[Дата начала]]+Линия3[[#This Row],[Длительность]]</f>
        <v>46020.452898550728</v>
      </c>
      <c r="C69" s="28">
        <f t="shared" si="3"/>
        <v>0.45289855072463769</v>
      </c>
      <c r="D69" s="29">
        <v>4600</v>
      </c>
      <c r="E69" s="29" t="s">
        <v>201</v>
      </c>
      <c r="F69" s="49">
        <v>50000</v>
      </c>
      <c r="G69" s="29">
        <v>480</v>
      </c>
      <c r="H69" s="48">
        <f>IFERROR(Линия3[[#This Row],[Количество]]/Линия3[[#This Row],[Шт. в поддоне]], "")</f>
        <v>104.16666666666667</v>
      </c>
    </row>
    <row r="70" spans="1:8" hidden="1" x14ac:dyDescent="0.25">
      <c r="A70" s="70">
        <f t="shared" si="2"/>
        <v>46020.452898550728</v>
      </c>
      <c r="B70" s="71">
        <f>Линия3[[#This Row],[Дата начала]]+Линия3[[#This Row],[Длительность]]</f>
        <v>46020.557065217392</v>
      </c>
      <c r="C70" s="28">
        <f t="shared" si="3"/>
        <v>0.10416666666666667</v>
      </c>
      <c r="D70" s="29"/>
      <c r="E70" s="29" t="s">
        <v>153</v>
      </c>
      <c r="F70" s="49"/>
      <c r="G70" s="29"/>
      <c r="H70" s="48" t="str">
        <f>IFERROR(Линия3[[#This Row],[Количество]]/Линия3[[#This Row],[Шт. в поддоне]], "")</f>
        <v/>
      </c>
    </row>
    <row r="71" spans="1:8" hidden="1" x14ac:dyDescent="0.25">
      <c r="A71" s="70">
        <f t="shared" si="2"/>
        <v>46020.557065217392</v>
      </c>
      <c r="B71" s="71">
        <f>Линия3[[#This Row],[Дата начала]]+Линия3[[#This Row],[Длительность]]</f>
        <v>46020.919384057968</v>
      </c>
      <c r="C71" s="28">
        <f t="shared" si="3"/>
        <v>0.36231884057971014</v>
      </c>
      <c r="D71" s="29">
        <v>4600</v>
      </c>
      <c r="E71" s="29" t="s">
        <v>201</v>
      </c>
      <c r="F71" s="49">
        <v>40000</v>
      </c>
      <c r="G71" s="29">
        <v>480</v>
      </c>
      <c r="H71" s="48">
        <f>IFERROR(Линия3[[#This Row],[Количество]]/Линия3[[#This Row],[Шт. в поддоне]], "")</f>
        <v>83.333333333333329</v>
      </c>
    </row>
    <row r="72" spans="1:8" hidden="1" x14ac:dyDescent="0.25">
      <c r="A72" s="70">
        <f t="shared" si="2"/>
        <v>46020.919384057968</v>
      </c>
      <c r="B72" s="71">
        <f>Линия3[[#This Row],[Дата начала]]+Линия3[[#This Row],[Длительность]]</f>
        <v>46020.929800724633</v>
      </c>
      <c r="C72" s="28">
        <f t="shared" si="3"/>
        <v>1.0416666666666666E-2</v>
      </c>
      <c r="D72" s="29"/>
      <c r="E72" s="29" t="s">
        <v>180</v>
      </c>
      <c r="F72" s="49"/>
      <c r="G72" s="29"/>
      <c r="H72" s="48" t="str">
        <f>IFERROR(Линия3[[#This Row],[Количество]]/Линия3[[#This Row],[Шт. в поддоне]], "")</f>
        <v/>
      </c>
    </row>
    <row r="73" spans="1:8" hidden="1" x14ac:dyDescent="0.25">
      <c r="A73" s="70">
        <f t="shared" si="2"/>
        <v>46020.929800724633</v>
      </c>
      <c r="B73" s="71">
        <f>Линия3[[#This Row],[Дата начала]]+Линия3[[#This Row],[Длительность]]</f>
        <v>46021.110960144921</v>
      </c>
      <c r="C73" s="28">
        <f t="shared" si="3"/>
        <v>0.18115942028985507</v>
      </c>
      <c r="D73" s="29">
        <v>4600</v>
      </c>
      <c r="E73" s="29" t="s">
        <v>212</v>
      </c>
      <c r="F73" s="49">
        <v>20000</v>
      </c>
      <c r="G73" s="29">
        <v>480</v>
      </c>
      <c r="H73" s="48">
        <f>IFERROR(Линия3[[#This Row],[Количество]]/Линия3[[#This Row],[Шт. в поддоне]], "")</f>
        <v>41.666666666666664</v>
      </c>
    </row>
    <row r="74" spans="1:8" hidden="1" x14ac:dyDescent="0.25">
      <c r="A74" s="70">
        <f t="shared" si="2"/>
        <v>46021.110960144921</v>
      </c>
      <c r="B74" s="71">
        <f>Линия3[[#This Row],[Дата начала]]+Линия3[[#This Row],[Длительность]]</f>
        <v>46021.319293478256</v>
      </c>
      <c r="C74" s="28">
        <v>0.20833333333333334</v>
      </c>
      <c r="D74" s="29"/>
      <c r="E74" s="29" t="s">
        <v>202</v>
      </c>
      <c r="F74" s="49"/>
      <c r="G74" s="29"/>
      <c r="H74" s="48" t="str">
        <f>IFERROR(Линия3[[#This Row],[Количество]]/Линия3[[#This Row],[Шт. в поддоне]], "")</f>
        <v/>
      </c>
    </row>
    <row r="75" spans="1:8" hidden="1" x14ac:dyDescent="0.25">
      <c r="A75" s="75"/>
      <c r="B75" s="76"/>
      <c r="C75" s="53"/>
      <c r="D75" s="54"/>
      <c r="E75" s="54" t="s">
        <v>169</v>
      </c>
      <c r="F75" s="54"/>
      <c r="G75" s="54"/>
      <c r="H75" s="56"/>
    </row>
    <row r="76" spans="1:8" hidden="1" x14ac:dyDescent="0.25">
      <c r="A76" s="70">
        <v>46034.458333333336</v>
      </c>
      <c r="B76" s="71">
        <f>Линия3[[#This Row],[Дата начала]]+Линия3[[#This Row],[Длительность]]</f>
        <v>46034.5625</v>
      </c>
      <c r="C76" s="28">
        <f t="shared" ref="C76:C131" si="4">IF(E76="Вытеснение",TIME(0,30,0),
IF(E76="Передача смены",TIME(0,20,0),
IF(E76="Запуск",TIME(0,30,0),
IF(E76="Смена ассортимента",TIME(0,15,0),
IF(E76="Переналадка формата",TIME(5,0,0),
IF(E76="CIP 1",TIME(0,40,0),
IF(E76="CIP 2",TIME(2,30,0),
IF(E76="CIP 3",TIME(3,20,0),
IF(AND(ISNUMBER(F76),ISNUMBER(D76),D76&gt;0),F76/D76/24,"Ошибка")))))))))</f>
        <v>0.10416666666666667</v>
      </c>
      <c r="D76" s="34"/>
      <c r="E76" s="29" t="s">
        <v>153</v>
      </c>
      <c r="F76" s="34"/>
      <c r="G76" s="34"/>
      <c r="H76" s="46" t="str">
        <f>IFERROR(Линия3[[#This Row],[Количество]]/Линия3[[#This Row],[Шт. в поддоне]], "")</f>
        <v/>
      </c>
    </row>
    <row r="77" spans="1:8" hidden="1" x14ac:dyDescent="0.25">
      <c r="A77" s="70">
        <f t="shared" ref="A77:A96" si="5">B76</f>
        <v>46034.5625</v>
      </c>
      <c r="B77" s="71">
        <f>Линия3[[#This Row],[Дата начала]]+Линия3[[#This Row],[Длительность]]</f>
        <v>46035.16032608696</v>
      </c>
      <c r="C77" s="28">
        <f t="shared" si="4"/>
        <v>0.59782608695652173</v>
      </c>
      <c r="D77" s="29">
        <v>4600</v>
      </c>
      <c r="E77" s="29" t="s">
        <v>179</v>
      </c>
      <c r="F77" s="49">
        <v>66000</v>
      </c>
      <c r="G77" s="29">
        <v>756</v>
      </c>
      <c r="H77" s="48">
        <f>IFERROR(Линия3[[#This Row],[Количество]]/Линия3[[#This Row],[Шт. в поддоне]], "")</f>
        <v>87.301587301587304</v>
      </c>
    </row>
    <row r="78" spans="1:8" hidden="1" x14ac:dyDescent="0.25">
      <c r="A78" s="70">
        <f t="shared" si="5"/>
        <v>46035.16032608696</v>
      </c>
      <c r="B78" s="71">
        <f>Линия3[[#This Row],[Дата начала]]+Линия3[[#This Row],[Длительность]]</f>
        <v>46035.264492753624</v>
      </c>
      <c r="C78" s="28">
        <f t="shared" si="4"/>
        <v>0.10416666666666667</v>
      </c>
      <c r="D78" s="29"/>
      <c r="E78" s="29" t="s">
        <v>153</v>
      </c>
      <c r="F78" s="49"/>
      <c r="G78" s="29"/>
      <c r="H78" s="48" t="str">
        <f>IFERROR(Линия3[[#This Row],[Количество]]/Линия3[[#This Row],[Шт. в поддоне]], "")</f>
        <v/>
      </c>
    </row>
    <row r="79" spans="1:8" hidden="1" x14ac:dyDescent="0.25">
      <c r="A79" s="70">
        <v>46035.4375</v>
      </c>
      <c r="B79" s="71">
        <f>Линия3[[#This Row],[Дата начала]]+Линия3[[#This Row],[Длительность]]</f>
        <v>46035.917572463768</v>
      </c>
      <c r="C79" s="28">
        <f t="shared" si="4"/>
        <v>0.48007246376811596</v>
      </c>
      <c r="D79" s="29">
        <v>4600</v>
      </c>
      <c r="E79" s="29" t="s">
        <v>204</v>
      </c>
      <c r="F79" s="49">
        <v>53000</v>
      </c>
      <c r="G79" s="29">
        <v>756</v>
      </c>
      <c r="H79" s="48">
        <f>IFERROR(Линия3[[#This Row],[Количество]]/Линия3[[#This Row],[Шт. в поддоне]], "")</f>
        <v>70.105820105820101</v>
      </c>
    </row>
    <row r="80" spans="1:8" hidden="1" x14ac:dyDescent="0.25">
      <c r="A80" s="70">
        <f t="shared" si="5"/>
        <v>46035.917572463768</v>
      </c>
      <c r="B80" s="71">
        <f>Линия3[[#This Row],[Дата начала]]+Линия3[[#This Row],[Длительность]]</f>
        <v>46035.927989130432</v>
      </c>
      <c r="C80" s="28">
        <f t="shared" si="4"/>
        <v>1.0416666666666666E-2</v>
      </c>
      <c r="D80" s="29"/>
      <c r="E80" s="29" t="s">
        <v>180</v>
      </c>
      <c r="F80" s="49"/>
      <c r="G80" s="29"/>
      <c r="H80" s="48" t="str">
        <f>IFERROR(Линия3[[#This Row],[Количество]]/Линия3[[#This Row],[Шт. в поддоне]], "")</f>
        <v/>
      </c>
    </row>
    <row r="81" spans="1:8" hidden="1" x14ac:dyDescent="0.25">
      <c r="A81" s="70">
        <f t="shared" si="5"/>
        <v>46035.927989130432</v>
      </c>
      <c r="B81" s="71">
        <f>Линия3[[#This Row],[Дата начала]]+Линия3[[#This Row],[Длительность]]</f>
        <v>46036.290307971009</v>
      </c>
      <c r="C81" s="28">
        <f t="shared" si="4"/>
        <v>0.36231884057971014</v>
      </c>
      <c r="D81" s="29">
        <v>4600</v>
      </c>
      <c r="E81" s="29" t="s">
        <v>203</v>
      </c>
      <c r="F81" s="49">
        <v>40000</v>
      </c>
      <c r="G81" s="29">
        <v>756</v>
      </c>
      <c r="H81" s="48">
        <f>IFERROR(Линия3[[#This Row],[Количество]]/Линия3[[#This Row],[Шт. в поддоне]], "")</f>
        <v>52.910052910052912</v>
      </c>
    </row>
    <row r="82" spans="1:8" hidden="1" x14ac:dyDescent="0.25">
      <c r="A82" s="70">
        <f t="shared" si="5"/>
        <v>46036.290307971009</v>
      </c>
      <c r="B82" s="71">
        <f>Линия3[[#This Row],[Дата начала]]+Линия3[[#This Row],[Длительность]]</f>
        <v>46036.394474637673</v>
      </c>
      <c r="C82" s="28">
        <f t="shared" si="4"/>
        <v>0.10416666666666667</v>
      </c>
      <c r="D82" s="29"/>
      <c r="E82" s="29" t="s">
        <v>153</v>
      </c>
      <c r="F82" s="29"/>
      <c r="G82" s="29"/>
      <c r="H82" s="48" t="str">
        <f>IFERROR(Линия3[[#This Row],[Количество]]/Линия3[[#This Row],[Шт. в поддоне]], "")</f>
        <v/>
      </c>
    </row>
    <row r="83" spans="1:8" hidden="1" x14ac:dyDescent="0.25">
      <c r="A83" s="70">
        <v>46036.5</v>
      </c>
      <c r="B83" s="71">
        <f>Линия3[[#This Row],[Дата начала]]+Линия3[[#This Row],[Длительность]]</f>
        <v>46036.862318840576</v>
      </c>
      <c r="C83" s="28">
        <f t="shared" si="4"/>
        <v>0.36231884057971014</v>
      </c>
      <c r="D83" s="29">
        <v>4600</v>
      </c>
      <c r="E83" s="29" t="s">
        <v>183</v>
      </c>
      <c r="F83" s="49">
        <v>40000</v>
      </c>
      <c r="G83" s="29">
        <v>756</v>
      </c>
      <c r="H83" s="48">
        <v>53</v>
      </c>
    </row>
    <row r="84" spans="1:8" hidden="1" x14ac:dyDescent="0.25">
      <c r="A84" s="70">
        <f t="shared" si="5"/>
        <v>46036.862318840576</v>
      </c>
      <c r="B84" s="71">
        <f>Линия3[[#This Row],[Дата начала]]+Линия3[[#This Row],[Длительность]]</f>
        <v>46037.070652173912</v>
      </c>
      <c r="C84" s="28">
        <v>0.20833333333333334</v>
      </c>
      <c r="D84" s="29"/>
      <c r="E84" s="77" t="s">
        <v>213</v>
      </c>
      <c r="F84" s="29"/>
      <c r="G84" s="29"/>
      <c r="H84" s="48" t="str">
        <f>IFERROR(Линия3[[#This Row],[Количество]]/Линия3[[#This Row],[Шт. в поддоне]], "")</f>
        <v/>
      </c>
    </row>
    <row r="85" spans="1:8" hidden="1" x14ac:dyDescent="0.25">
      <c r="A85" s="70">
        <v>46037.347222222219</v>
      </c>
      <c r="B85" s="71">
        <f>Линия3[[#This Row],[Дата начала]]+Линия3[[#This Row],[Длительность]]</f>
        <v>46037.910285285281</v>
      </c>
      <c r="C85" s="28">
        <f t="shared" si="4"/>
        <v>0.56306306306306309</v>
      </c>
      <c r="D85" s="29">
        <v>3700</v>
      </c>
      <c r="E85" s="29" t="s">
        <v>201</v>
      </c>
      <c r="F85" s="49">
        <v>50000</v>
      </c>
      <c r="G85" s="29">
        <v>480</v>
      </c>
      <c r="H85" s="48">
        <f>IFERROR(Линия3[[#This Row],[Количество]]/Линия3[[#This Row],[Шт. в поддоне]], "")</f>
        <v>104.16666666666667</v>
      </c>
    </row>
    <row r="86" spans="1:8" hidden="1" x14ac:dyDescent="0.25">
      <c r="A86" s="70">
        <f t="shared" si="5"/>
        <v>46037.910285285281</v>
      </c>
      <c r="B86" s="71">
        <f>Линия3[[#This Row],[Дата начала]]+Линия3[[#This Row],[Длительность]]</f>
        <v>46038.014451951945</v>
      </c>
      <c r="C86" s="28">
        <f t="shared" si="4"/>
        <v>0.10416666666666667</v>
      </c>
      <c r="D86" s="29"/>
      <c r="E86" s="29" t="s">
        <v>153</v>
      </c>
      <c r="F86" s="29"/>
      <c r="G86" s="29"/>
      <c r="H86" s="48" t="str">
        <f>IFERROR(Линия3[[#This Row],[Количество]]/Линия3[[#This Row],[Шт. в поддоне]], "")</f>
        <v/>
      </c>
    </row>
    <row r="87" spans="1:8" hidden="1" x14ac:dyDescent="0.25">
      <c r="A87" s="70">
        <f t="shared" si="5"/>
        <v>46038.014451951945</v>
      </c>
      <c r="B87" s="71">
        <f>Линия3[[#This Row],[Дата начала]]+Линия3[[#This Row],[Длительность]]</f>
        <v>46038.577515015008</v>
      </c>
      <c r="C87" s="28">
        <f t="shared" si="4"/>
        <v>0.56306306306306309</v>
      </c>
      <c r="D87" s="29">
        <v>3700</v>
      </c>
      <c r="E87" s="29" t="s">
        <v>201</v>
      </c>
      <c r="F87" s="49">
        <v>50000</v>
      </c>
      <c r="G87" s="29">
        <v>480</v>
      </c>
      <c r="H87" s="48">
        <f>IFERROR(Линия3[[#This Row],[Количество]]/Линия3[[#This Row],[Шт. в поддоне]], "")</f>
        <v>104.16666666666667</v>
      </c>
    </row>
    <row r="88" spans="1:8" hidden="1" x14ac:dyDescent="0.25">
      <c r="A88" s="70">
        <f t="shared" si="5"/>
        <v>46038.577515015008</v>
      </c>
      <c r="B88" s="71">
        <f>Линия3[[#This Row],[Дата начала]]+Линия3[[#This Row],[Длительность]]</f>
        <v>46038.681681681672</v>
      </c>
      <c r="C88" s="28">
        <f t="shared" si="4"/>
        <v>0.10416666666666667</v>
      </c>
      <c r="D88" s="29"/>
      <c r="E88" s="29" t="s">
        <v>153</v>
      </c>
      <c r="F88" s="29"/>
      <c r="G88" s="29"/>
      <c r="H88" s="48" t="str">
        <f>IFERROR(Линия3[[#This Row],[Количество]]/Линия3[[#This Row],[Шт. в поддоне]], "")</f>
        <v/>
      </c>
    </row>
    <row r="89" spans="1:8" hidden="1" x14ac:dyDescent="0.25">
      <c r="A89" s="70">
        <f t="shared" si="5"/>
        <v>46038.681681681672</v>
      </c>
      <c r="B89" s="71">
        <f>Линия3[[#This Row],[Дата начала]]+Линия3[[#This Row],[Длительность]]</f>
        <v>46039.019519519512</v>
      </c>
      <c r="C89" s="28">
        <f t="shared" si="4"/>
        <v>0.33783783783783788</v>
      </c>
      <c r="D89" s="29">
        <v>3700</v>
      </c>
      <c r="E89" s="29" t="s">
        <v>201</v>
      </c>
      <c r="F89" s="49">
        <v>30000</v>
      </c>
      <c r="G89" s="29">
        <v>480</v>
      </c>
      <c r="H89" s="48">
        <f>IFERROR(Линия3[[#This Row],[Количество]]/Линия3[[#This Row],[Шт. в поддоне]], "")</f>
        <v>62.5</v>
      </c>
    </row>
    <row r="90" spans="1:8" hidden="1" x14ac:dyDescent="0.25">
      <c r="A90" s="70">
        <f t="shared" si="5"/>
        <v>46039.019519519512</v>
      </c>
      <c r="B90" s="71">
        <f>Линия3[[#This Row],[Дата начала]]+Линия3[[#This Row],[Длительность]]</f>
        <v>46039.102852852848</v>
      </c>
      <c r="C90" s="28">
        <v>8.3333333333333329E-2</v>
      </c>
      <c r="D90" s="29"/>
      <c r="E90" s="29" t="s">
        <v>180</v>
      </c>
      <c r="F90" s="29"/>
      <c r="G90" s="29"/>
      <c r="H90" s="48" t="str">
        <f>IFERROR(Линия3[[#This Row],[Количество]]/Линия3[[#This Row],[Шт. в поддоне]], "")</f>
        <v/>
      </c>
    </row>
    <row r="91" spans="1:8" hidden="1" x14ac:dyDescent="0.25">
      <c r="A91" s="70">
        <f t="shared" si="5"/>
        <v>46039.102852852848</v>
      </c>
      <c r="B91" s="71">
        <f>Линия3[[#This Row],[Дата начала]]+Линия3[[#This Row],[Длительность]]</f>
        <v>46039.32807807807</v>
      </c>
      <c r="C91" s="28">
        <f t="shared" si="4"/>
        <v>0.22522522522522523</v>
      </c>
      <c r="D91" s="29">
        <v>3700</v>
      </c>
      <c r="E91" s="29" t="s">
        <v>212</v>
      </c>
      <c r="F91" s="49">
        <v>20000</v>
      </c>
      <c r="G91" s="29">
        <v>480</v>
      </c>
      <c r="H91" s="48">
        <f>IFERROR(Линия3[[#This Row],[Количество]]/Линия3[[#This Row],[Шт. в поддоне]], "")</f>
        <v>41.666666666666664</v>
      </c>
    </row>
    <row r="92" spans="1:8" hidden="1" x14ac:dyDescent="0.25">
      <c r="A92" s="70">
        <f t="shared" si="5"/>
        <v>46039.32807807807</v>
      </c>
      <c r="B92" s="71">
        <f>Линия3[[#This Row],[Дата начала]]+Линия3[[#This Row],[Длительность]]</f>
        <v>46039.494744744734</v>
      </c>
      <c r="C92" s="28">
        <v>0.16666666666666666</v>
      </c>
      <c r="D92" s="29"/>
      <c r="E92" s="77" t="s">
        <v>185</v>
      </c>
      <c r="F92" s="29"/>
      <c r="G92" s="29"/>
      <c r="H92" s="48" t="str">
        <f>IFERROR(Линия3[[#This Row],[Количество]]/Линия3[[#This Row],[Шт. в поддоне]], "")</f>
        <v/>
      </c>
    </row>
    <row r="93" spans="1:8" hidden="1" x14ac:dyDescent="0.25">
      <c r="A93" s="70">
        <f t="shared" si="5"/>
        <v>46039.494744744734</v>
      </c>
      <c r="B93" s="71">
        <f>Линия3[[#This Row],[Дата начала]]+Линия3[[#This Row],[Длительность]]</f>
        <v>46039.766483875166</v>
      </c>
      <c r="C93" s="28">
        <f t="shared" si="4"/>
        <v>0.27173913043478259</v>
      </c>
      <c r="D93" s="29">
        <v>4600</v>
      </c>
      <c r="E93" s="29" t="s">
        <v>196</v>
      </c>
      <c r="F93" s="49">
        <v>30000</v>
      </c>
      <c r="G93" s="29">
        <v>504</v>
      </c>
      <c r="H93" s="48">
        <f>IFERROR(Линия3[[#This Row],[Количество]]/Линия3[[#This Row],[Шт. в поддоне]], "")</f>
        <v>59.523809523809526</v>
      </c>
    </row>
    <row r="94" spans="1:8" hidden="1" x14ac:dyDescent="0.25">
      <c r="A94" s="70">
        <f t="shared" si="5"/>
        <v>46039.766483875166</v>
      </c>
      <c r="B94" s="71">
        <f>Линия3[[#This Row],[Дата начала]]+Линия3[[#This Row],[Длительность]]</f>
        <v>46039.787317208502</v>
      </c>
      <c r="C94" s="28">
        <f t="shared" si="4"/>
        <v>2.0833333333333332E-2</v>
      </c>
      <c r="D94" s="29"/>
      <c r="E94" s="29" t="s">
        <v>162</v>
      </c>
      <c r="F94" s="29"/>
      <c r="G94" s="29"/>
      <c r="H94" s="48" t="str">
        <f>IFERROR(Линия3[[#This Row],[Количество]]/Линия3[[#This Row],[Шт. в поддоне]], "")</f>
        <v/>
      </c>
    </row>
    <row r="95" spans="1:8" hidden="1" x14ac:dyDescent="0.25">
      <c r="A95" s="70">
        <f t="shared" si="5"/>
        <v>46039.787317208502</v>
      </c>
      <c r="B95" s="71">
        <f>Линия3[[#This Row],[Дата начала]]+Линия3[[#This Row],[Длительность]]</f>
        <v>46040.511954889662</v>
      </c>
      <c r="C95" s="28">
        <f t="shared" si="4"/>
        <v>0.72463768115942029</v>
      </c>
      <c r="D95" s="29">
        <v>4600</v>
      </c>
      <c r="E95" s="29" t="s">
        <v>195</v>
      </c>
      <c r="F95" s="49">
        <v>80000</v>
      </c>
      <c r="G95" s="29">
        <v>504</v>
      </c>
      <c r="H95" s="48">
        <f>IFERROR(Линия3[[#This Row],[Количество]]/Линия3[[#This Row],[Шт. в поддоне]], "")</f>
        <v>158.73015873015873</v>
      </c>
    </row>
    <row r="96" spans="1:8" hidden="1" x14ac:dyDescent="0.25">
      <c r="A96" s="70">
        <f t="shared" si="5"/>
        <v>46040.511954889662</v>
      </c>
      <c r="B96" s="71">
        <f>Линия3[[#This Row],[Дата начала]]+Линия3[[#This Row],[Длительность]]</f>
        <v>46040.650843778552</v>
      </c>
      <c r="C96" s="28">
        <f t="shared" si="4"/>
        <v>0.1388888888888889</v>
      </c>
      <c r="D96" s="29"/>
      <c r="E96" s="29" t="s">
        <v>158</v>
      </c>
      <c r="F96" s="29"/>
      <c r="G96" s="29"/>
      <c r="H96" s="48" t="str">
        <f>IFERROR(Линия3[[#This Row],[Количество]]/Линия3[[#This Row],[Шт. в поддоне]], "")</f>
        <v/>
      </c>
    </row>
    <row r="97" spans="1:8" hidden="1" x14ac:dyDescent="0.25">
      <c r="A97" s="70">
        <v>46041.541666666664</v>
      </c>
      <c r="B97" s="71">
        <f>Линия3[[#This Row],[Дата начала]]+Линия3[[#This Row],[Длительность]]</f>
        <v>46042.217342342337</v>
      </c>
      <c r="C97" s="28">
        <f t="shared" si="4"/>
        <v>0.67567567567567577</v>
      </c>
      <c r="D97" s="29">
        <v>3700</v>
      </c>
      <c r="E97" s="29" t="s">
        <v>186</v>
      </c>
      <c r="F97" s="49">
        <v>60000</v>
      </c>
      <c r="G97" s="29">
        <v>504</v>
      </c>
      <c r="H97" s="48">
        <f>IFERROR(Линия3[[#This Row],[Количество]]/Линия3[[#This Row],[Шт. в поддоне]], "")</f>
        <v>119.04761904761905</v>
      </c>
    </row>
    <row r="98" spans="1:8" hidden="1" x14ac:dyDescent="0.25">
      <c r="A98" s="70">
        <v>46042.486111111109</v>
      </c>
      <c r="B98" s="71">
        <f>Линия3[[#This Row],[Дата начала]]+Линия3[[#This Row],[Длительность]]</f>
        <v>46042.590277777774</v>
      </c>
      <c r="C98" s="28">
        <f t="shared" si="4"/>
        <v>0.10416666666666667</v>
      </c>
      <c r="D98" s="29"/>
      <c r="E98" s="29" t="s">
        <v>153</v>
      </c>
      <c r="F98" s="29"/>
      <c r="G98" s="29"/>
      <c r="H98" s="48" t="str">
        <f>IFERROR(Линия3[[#This Row],[Количество]]/Линия3[[#This Row],[Шт. в поддоне]], "")</f>
        <v/>
      </c>
    </row>
    <row r="99" spans="1:8" hidden="1" x14ac:dyDescent="0.25">
      <c r="A99" s="70">
        <f t="shared" ref="A99:A121" si="6">B98</f>
        <v>46042.590277777774</v>
      </c>
      <c r="B99" s="71">
        <f>Линия3[[#This Row],[Дата начала]]+Линия3[[#This Row],[Длительность]]</f>
        <v>46042.95259661835</v>
      </c>
      <c r="C99" s="28">
        <f t="shared" si="4"/>
        <v>0.36231884057971014</v>
      </c>
      <c r="D99" s="29">
        <v>4600</v>
      </c>
      <c r="E99" s="29" t="s">
        <v>188</v>
      </c>
      <c r="F99" s="49">
        <v>40000</v>
      </c>
      <c r="G99" s="29">
        <v>504</v>
      </c>
      <c r="H99" s="48">
        <f>IFERROR(Линия3[[#This Row],[Количество]]/Линия3[[#This Row],[Шт. в поддоне]], "")</f>
        <v>79.365079365079367</v>
      </c>
    </row>
    <row r="100" spans="1:8" hidden="1" x14ac:dyDescent="0.25">
      <c r="A100" s="70">
        <f t="shared" si="6"/>
        <v>46042.95259661835</v>
      </c>
      <c r="B100" s="71">
        <f>Линия3[[#This Row],[Дата начала]]+Линия3[[#This Row],[Длительность]]</f>
        <v>46043.056763285014</v>
      </c>
      <c r="C100" s="28">
        <f t="shared" si="4"/>
        <v>0.10416666666666667</v>
      </c>
      <c r="D100" s="29"/>
      <c r="E100" s="29" t="s">
        <v>153</v>
      </c>
      <c r="F100" s="29"/>
      <c r="G100" s="29"/>
      <c r="H100" s="48" t="str">
        <f>IFERROR(Линия3[[#This Row],[Количество]]/Линия3[[#This Row],[Шт. в поддоне]], "")</f>
        <v/>
      </c>
    </row>
    <row r="101" spans="1:8" hidden="1" x14ac:dyDescent="0.25">
      <c r="A101" s="70">
        <f t="shared" si="6"/>
        <v>46043.056763285014</v>
      </c>
      <c r="B101" s="71">
        <f>Линия3[[#This Row],[Дата начала]]+Линия3[[#This Row],[Длительность]]</f>
        <v>46043.328502415447</v>
      </c>
      <c r="C101" s="28">
        <f t="shared" si="4"/>
        <v>0.27173913043478259</v>
      </c>
      <c r="D101" s="29">
        <v>4600</v>
      </c>
      <c r="E101" s="29" t="s">
        <v>191</v>
      </c>
      <c r="F101" s="49">
        <v>30000</v>
      </c>
      <c r="G101" s="29">
        <v>504</v>
      </c>
      <c r="H101" s="48">
        <f>IFERROR(Линия3[[#This Row],[Количество]]/Линия3[[#This Row],[Шт. в поддоне]], "")</f>
        <v>59.523809523809526</v>
      </c>
    </row>
    <row r="102" spans="1:8" hidden="1" x14ac:dyDescent="0.25">
      <c r="A102" s="70">
        <f t="shared" si="6"/>
        <v>46043.328502415447</v>
      </c>
      <c r="B102" s="71">
        <f>Линия3[[#This Row],[Дата начала]]+Линия3[[#This Row],[Длительность]]</f>
        <v>46043.349335748782</v>
      </c>
      <c r="C102" s="28">
        <f t="shared" si="4"/>
        <v>2.0833333333333332E-2</v>
      </c>
      <c r="D102" s="29"/>
      <c r="E102" s="29" t="s">
        <v>162</v>
      </c>
      <c r="F102" s="29"/>
      <c r="G102" s="29"/>
      <c r="H102" s="48" t="str">
        <f>IFERROR(Линия3[[#This Row],[Количество]]/Линия3[[#This Row],[Шт. в поддоне]], "")</f>
        <v/>
      </c>
    </row>
    <row r="103" spans="1:8" hidden="1" x14ac:dyDescent="0.25">
      <c r="A103" s="70">
        <f t="shared" si="6"/>
        <v>46043.349335748782</v>
      </c>
      <c r="B103" s="71">
        <f>Линия3[[#This Row],[Дата начала]]+Линия3[[#This Row],[Длительность]]</f>
        <v>46043.621074879215</v>
      </c>
      <c r="C103" s="28">
        <f t="shared" si="4"/>
        <v>0.27173913043478259</v>
      </c>
      <c r="D103" s="29">
        <v>4600</v>
      </c>
      <c r="E103" s="29" t="s">
        <v>190</v>
      </c>
      <c r="F103" s="49">
        <v>30000</v>
      </c>
      <c r="G103" s="29">
        <v>504</v>
      </c>
      <c r="H103" s="48">
        <f>IFERROR(Линия3[[#This Row],[Количество]]/Линия3[[#This Row],[Шт. в поддоне]], "")</f>
        <v>59.523809523809526</v>
      </c>
    </row>
    <row r="104" spans="1:8" hidden="1" x14ac:dyDescent="0.25">
      <c r="A104" s="70">
        <f t="shared" si="6"/>
        <v>46043.621074879215</v>
      </c>
      <c r="B104" s="71">
        <f>Линия3[[#This Row],[Дата начала]]+Линия3[[#This Row],[Длительность]]</f>
        <v>46043.725241545879</v>
      </c>
      <c r="C104" s="28">
        <f t="shared" si="4"/>
        <v>0.10416666666666667</v>
      </c>
      <c r="D104" s="29"/>
      <c r="E104" s="29" t="s">
        <v>153</v>
      </c>
      <c r="F104" s="29"/>
      <c r="G104" s="29"/>
      <c r="H104" s="48" t="str">
        <f>IFERROR(Линия3[[#This Row],[Количество]]/Линия3[[#This Row],[Шт. в поддоне]], "")</f>
        <v/>
      </c>
    </row>
    <row r="105" spans="1:8" hidden="1" x14ac:dyDescent="0.25">
      <c r="A105" s="70">
        <v>46044.416666666664</v>
      </c>
      <c r="B105" s="71">
        <f>Линия3[[#This Row],[Дата начала]]+Линия3[[#This Row],[Длительность]]</f>
        <v>46044.754504504504</v>
      </c>
      <c r="C105" s="28">
        <f t="shared" si="4"/>
        <v>0.33783783783783788</v>
      </c>
      <c r="D105" s="29">
        <v>3700</v>
      </c>
      <c r="E105" s="29" t="s">
        <v>187</v>
      </c>
      <c r="F105" s="49">
        <v>30000</v>
      </c>
      <c r="G105" s="29">
        <v>504</v>
      </c>
      <c r="H105" s="48">
        <f>IFERROR(Линия3[[#This Row],[Количество]]/Линия3[[#This Row],[Шт. в поддоне]], "")</f>
        <v>59.523809523809526</v>
      </c>
    </row>
    <row r="106" spans="1:8" hidden="1" x14ac:dyDescent="0.25">
      <c r="A106" s="70">
        <f t="shared" si="6"/>
        <v>46044.754504504504</v>
      </c>
      <c r="B106" s="71">
        <f>Линия3[[#This Row],[Дата начала]]+Линия3[[#This Row],[Длительность]]</f>
        <v>46044.893393393395</v>
      </c>
      <c r="C106" s="28">
        <f t="shared" si="4"/>
        <v>0.1388888888888889</v>
      </c>
      <c r="D106" s="29"/>
      <c r="E106" s="29" t="s">
        <v>158</v>
      </c>
      <c r="F106" s="29"/>
      <c r="G106" s="29"/>
      <c r="H106" s="48" t="str">
        <f>IFERROR(Линия3[[#This Row],[Количество]]/Линия3[[#This Row],[Шт. в поддоне]], "")</f>
        <v/>
      </c>
    </row>
    <row r="107" spans="1:8" hidden="1" x14ac:dyDescent="0.25">
      <c r="A107" s="70">
        <v>46045.125</v>
      </c>
      <c r="B107" s="71">
        <f>Линия3[[#This Row],[Дата начала]]+Линия3[[#This Row],[Длительность]]</f>
        <v>46045.688063063062</v>
      </c>
      <c r="C107" s="28">
        <f t="shared" si="4"/>
        <v>0.56306306306306309</v>
      </c>
      <c r="D107" s="29">
        <v>3700</v>
      </c>
      <c r="E107" s="29" t="s">
        <v>194</v>
      </c>
      <c r="F107" s="49">
        <v>50000</v>
      </c>
      <c r="G107" s="29">
        <v>504</v>
      </c>
      <c r="H107" s="48">
        <f>IFERROR(Линия3[[#This Row],[Количество]]/Линия3[[#This Row],[Шт. в поддоне]], "")</f>
        <v>99.206349206349202</v>
      </c>
    </row>
    <row r="108" spans="1:8" hidden="1" x14ac:dyDescent="0.25">
      <c r="A108" s="70">
        <f t="shared" si="6"/>
        <v>46045.688063063062</v>
      </c>
      <c r="B108" s="71">
        <f>Линия3[[#This Row],[Дата начала]]+Линия3[[#This Row],[Длительность]]</f>
        <v>46045.854729729726</v>
      </c>
      <c r="C108" s="28">
        <v>0.16666666666666666</v>
      </c>
      <c r="D108" s="34"/>
      <c r="E108" s="34" t="s">
        <v>202</v>
      </c>
      <c r="F108" s="34"/>
      <c r="G108" s="34"/>
      <c r="H108" s="46" t="str">
        <f>IFERROR(Линия3[[#This Row],[Количество]]/Линия3[[#This Row],[Шт. в поддоне]], "")</f>
        <v/>
      </c>
    </row>
    <row r="109" spans="1:8" hidden="1" x14ac:dyDescent="0.25">
      <c r="A109" s="70">
        <f t="shared" si="6"/>
        <v>46045.854729729726</v>
      </c>
      <c r="B109" s="71">
        <f>Линия3[[#This Row],[Дата начала]]+Линия3[[#This Row],[Длительность]]</f>
        <v>46045.897297297292</v>
      </c>
      <c r="C109" s="28">
        <f t="shared" si="4"/>
        <v>4.256756756756757E-2</v>
      </c>
      <c r="D109" s="29">
        <v>3700</v>
      </c>
      <c r="E109" s="29" t="s">
        <v>214</v>
      </c>
      <c r="F109" s="29">
        <v>3780</v>
      </c>
      <c r="G109" s="29">
        <v>756</v>
      </c>
      <c r="H109" s="48">
        <f>IFERROR(Линия3[[#This Row],[Количество]]/Линия3[[#This Row],[Шт. в поддоне]], "")</f>
        <v>5</v>
      </c>
    </row>
    <row r="110" spans="1:8" hidden="1" x14ac:dyDescent="0.25">
      <c r="A110" s="70">
        <f t="shared" si="6"/>
        <v>46045.897297297292</v>
      </c>
      <c r="B110" s="71">
        <f>Линия3[[#This Row],[Дата начала]]+Линия3[[#This Row],[Длительность]]</f>
        <v>46045.907713963956</v>
      </c>
      <c r="C110" s="28">
        <f t="shared" si="4"/>
        <v>1.0416666666666666E-2</v>
      </c>
      <c r="D110" s="29"/>
      <c r="E110" s="29" t="s">
        <v>180</v>
      </c>
      <c r="F110" s="29"/>
      <c r="G110" s="29"/>
      <c r="H110" s="48" t="str">
        <f>IFERROR(Линия3[[#This Row],[Количество]]/Линия3[[#This Row],[Шт. в поддоне]], "")</f>
        <v/>
      </c>
    </row>
    <row r="111" spans="1:8" hidden="1" x14ac:dyDescent="0.25">
      <c r="A111" s="70">
        <f t="shared" si="6"/>
        <v>46045.907713963956</v>
      </c>
      <c r="B111" s="71">
        <f>Линия3[[#This Row],[Дата начала]]+Линия3[[#This Row],[Длительность]]</f>
        <v>46046.605912162151</v>
      </c>
      <c r="C111" s="28">
        <f t="shared" si="4"/>
        <v>0.69819819819819828</v>
      </c>
      <c r="D111" s="29">
        <v>3700</v>
      </c>
      <c r="E111" s="29" t="s">
        <v>203</v>
      </c>
      <c r="F111" s="29">
        <v>62000</v>
      </c>
      <c r="G111" s="29">
        <v>756</v>
      </c>
      <c r="H111" s="48">
        <f>IFERROR(Линия3[[#This Row],[Количество]]/Линия3[[#This Row],[Шт. в поддоне]], "")</f>
        <v>82.010582010582013</v>
      </c>
    </row>
    <row r="112" spans="1:8" hidden="1" x14ac:dyDescent="0.25">
      <c r="A112" s="70">
        <f t="shared" si="6"/>
        <v>46046.605912162151</v>
      </c>
      <c r="B112" s="71">
        <f>Линия3[[#This Row],[Дата начала]]+Линия3[[#This Row],[Длительность]]</f>
        <v>46046.710078828815</v>
      </c>
      <c r="C112" s="28">
        <f t="shared" si="4"/>
        <v>0.10416666666666667</v>
      </c>
      <c r="D112" s="29"/>
      <c r="E112" s="29" t="s">
        <v>153</v>
      </c>
      <c r="F112" s="29"/>
      <c r="G112" s="29"/>
      <c r="H112" s="48" t="str">
        <f>IFERROR(Линия3[[#This Row],[Количество]]/Линия3[[#This Row],[Шт. в поддоне]], "")</f>
        <v/>
      </c>
    </row>
    <row r="113" spans="1:8" hidden="1" x14ac:dyDescent="0.25">
      <c r="A113" s="70">
        <f t="shared" si="6"/>
        <v>46046.710078828815</v>
      </c>
      <c r="B113" s="71">
        <f>Линия3[[#This Row],[Дата начала]]+Линия3[[#This Row],[Длительность]]</f>
        <v>46047.306925675664</v>
      </c>
      <c r="C113" s="28">
        <f t="shared" si="4"/>
        <v>0.59684684684684686</v>
      </c>
      <c r="D113" s="29">
        <v>3700</v>
      </c>
      <c r="E113" s="29" t="s">
        <v>179</v>
      </c>
      <c r="F113" s="29">
        <v>53000</v>
      </c>
      <c r="G113" s="29">
        <v>756</v>
      </c>
      <c r="H113" s="48">
        <f>IFERROR(Линия3[[#This Row],[Количество]]/Линия3[[#This Row],[Шт. в поддоне]], "")</f>
        <v>70.105820105820101</v>
      </c>
    </row>
    <row r="114" spans="1:8" hidden="1" x14ac:dyDescent="0.25">
      <c r="A114" s="70">
        <f t="shared" si="6"/>
        <v>46047.306925675664</v>
      </c>
      <c r="B114" s="71">
        <f>Линия3[[#This Row],[Дата начала]]+Линия3[[#This Row],[Длительность]]</f>
        <v>46047.317342342329</v>
      </c>
      <c r="C114" s="28">
        <f t="shared" si="4"/>
        <v>1.0416666666666666E-2</v>
      </c>
      <c r="D114" s="29"/>
      <c r="E114" s="29" t="s">
        <v>180</v>
      </c>
      <c r="F114" s="29"/>
      <c r="G114" s="29"/>
      <c r="H114" s="48" t="str">
        <f>IFERROR(Линия3[[#This Row],[Количество]]/Линия3[[#This Row],[Шт. в поддоне]], "")</f>
        <v/>
      </c>
    </row>
    <row r="115" spans="1:8" hidden="1" x14ac:dyDescent="0.25">
      <c r="A115" s="70">
        <f t="shared" si="6"/>
        <v>46047.317342342329</v>
      </c>
      <c r="B115" s="71">
        <f>Линия3[[#This Row],[Дата начала]]+Линия3[[#This Row],[Длительность]]</f>
        <v>46047.914189189178</v>
      </c>
      <c r="C115" s="28">
        <f t="shared" si="4"/>
        <v>0.59684684684684686</v>
      </c>
      <c r="D115" s="29">
        <v>3700</v>
      </c>
      <c r="E115" s="29" t="s">
        <v>181</v>
      </c>
      <c r="F115" s="29">
        <v>53000</v>
      </c>
      <c r="G115" s="29">
        <v>756</v>
      </c>
      <c r="H115" s="48">
        <f>IFERROR(Линия3[[#This Row],[Количество]]/Линия3[[#This Row],[Шт. в поддоне]], "")</f>
        <v>70.105820105820101</v>
      </c>
    </row>
    <row r="116" spans="1:8" hidden="1" x14ac:dyDescent="0.25">
      <c r="A116" s="70">
        <f t="shared" si="6"/>
        <v>46047.914189189178</v>
      </c>
      <c r="B116" s="71">
        <f>Линия3[[#This Row],[Дата начала]]+Линия3[[#This Row],[Длительность]]</f>
        <v>46048.018355855842</v>
      </c>
      <c r="C116" s="28">
        <f t="shared" si="4"/>
        <v>0.10416666666666667</v>
      </c>
      <c r="D116" s="29"/>
      <c r="E116" s="29" t="s">
        <v>153</v>
      </c>
      <c r="F116" s="29"/>
      <c r="G116" s="29"/>
      <c r="H116" s="48" t="str">
        <f>IFERROR(Линия3[[#This Row],[Количество]]/Линия3[[#This Row],[Шт. в поддоне]], "")</f>
        <v/>
      </c>
    </row>
    <row r="117" spans="1:8" hidden="1" x14ac:dyDescent="0.25">
      <c r="A117" s="70">
        <f t="shared" si="6"/>
        <v>46048.018355855842</v>
      </c>
      <c r="B117" s="71">
        <f>Линия3[[#This Row],[Дата начала]]+Линия3[[#This Row],[Длительность]]</f>
        <v>46048.767229729718</v>
      </c>
      <c r="C117" s="28">
        <f t="shared" si="4"/>
        <v>0.74887387387387383</v>
      </c>
      <c r="D117" s="29">
        <v>3700</v>
      </c>
      <c r="E117" s="29" t="s">
        <v>204</v>
      </c>
      <c r="F117" s="29">
        <v>66500</v>
      </c>
      <c r="G117" s="29">
        <v>756</v>
      </c>
      <c r="H117" s="48">
        <f>IFERROR(Линия3[[#This Row],[Количество]]/Линия3[[#This Row],[Шт. в поддоне]], "")</f>
        <v>87.962962962962962</v>
      </c>
    </row>
    <row r="118" spans="1:8" hidden="1" x14ac:dyDescent="0.25">
      <c r="A118" s="70">
        <f t="shared" si="6"/>
        <v>46048.767229729718</v>
      </c>
      <c r="B118" s="71">
        <f>Линия3[[#This Row],[Дата начала]]+Линия3[[#This Row],[Длительность]]</f>
        <v>46048.871396396382</v>
      </c>
      <c r="C118" s="28">
        <f t="shared" si="4"/>
        <v>0.10416666666666667</v>
      </c>
      <c r="D118" s="34"/>
      <c r="E118" s="34" t="s">
        <v>153</v>
      </c>
      <c r="F118" s="34"/>
      <c r="G118" s="34"/>
      <c r="H118" s="48" t="str">
        <f>IFERROR(Линия3[[#This Row],[Количество]]/Линия3[[#This Row],[Шт. в поддоне]], "")</f>
        <v/>
      </c>
    </row>
    <row r="119" spans="1:8" hidden="1" x14ac:dyDescent="0.25">
      <c r="A119" s="70">
        <v>46049.208333333336</v>
      </c>
      <c r="B119" s="71">
        <f>Линия3[[#This Row],[Дата начала]]+Линия3[[#This Row],[Длительность]]</f>
        <v>46049.957207207211</v>
      </c>
      <c r="C119" s="28">
        <f t="shared" si="4"/>
        <v>0.74887387387387383</v>
      </c>
      <c r="D119" s="29">
        <v>3700</v>
      </c>
      <c r="E119" s="29" t="s">
        <v>204</v>
      </c>
      <c r="F119" s="29">
        <v>66500</v>
      </c>
      <c r="G119" s="29">
        <v>756</v>
      </c>
      <c r="H119" s="48">
        <f>IFERROR(Линия3[[#This Row],[Количество]]/Линия3[[#This Row],[Шт. в поддоне]], "")</f>
        <v>87.962962962962962</v>
      </c>
    </row>
    <row r="120" spans="1:8" hidden="1" x14ac:dyDescent="0.25">
      <c r="A120" s="70">
        <f t="shared" si="6"/>
        <v>46049.957207207211</v>
      </c>
      <c r="B120" s="71">
        <f>Линия3[[#This Row],[Дата начала]]+Линия3[[#This Row],[Длительность]]</f>
        <v>46050.096096096102</v>
      </c>
      <c r="C120" s="28">
        <f t="shared" si="4"/>
        <v>0.1388888888888889</v>
      </c>
      <c r="D120" s="29"/>
      <c r="E120" s="29" t="s">
        <v>158</v>
      </c>
      <c r="F120" s="29"/>
      <c r="G120" s="29"/>
      <c r="H120" s="48" t="str">
        <f>IFERROR(Линия3[[#This Row],[Количество]]/Линия3[[#This Row],[Шт. в поддоне]], "")</f>
        <v/>
      </c>
    </row>
    <row r="121" spans="1:8" hidden="1" x14ac:dyDescent="0.25">
      <c r="A121" s="70">
        <f t="shared" si="6"/>
        <v>46050.096096096102</v>
      </c>
      <c r="B121" s="71">
        <f>Линия3[[#This Row],[Дата начала]]+Линия3[[#This Row],[Длительность]]</f>
        <v>46050.331603342478</v>
      </c>
      <c r="C121" s="28">
        <f t="shared" si="4"/>
        <v>0.23550724637681161</v>
      </c>
      <c r="D121" s="29">
        <v>4600</v>
      </c>
      <c r="E121" s="34" t="s">
        <v>215</v>
      </c>
      <c r="F121" s="34">
        <v>26000</v>
      </c>
      <c r="G121" s="29">
        <v>756</v>
      </c>
      <c r="H121" s="48">
        <f>IFERROR(Линия3[[#This Row],[Количество]]/Линия3[[#This Row],[Шт. в поддоне]], "")</f>
        <v>34.391534391534393</v>
      </c>
    </row>
    <row r="122" spans="1:8" hidden="1" x14ac:dyDescent="0.25">
      <c r="A122" s="78">
        <v>46051</v>
      </c>
      <c r="B122" s="79">
        <f>Линия3[[#This Row],[Дата начала]]+Линия3[[#This Row],[Длительность]]</f>
        <v>46051.104166666664</v>
      </c>
      <c r="C122" s="28">
        <f t="shared" si="4"/>
        <v>0.10416666666666667</v>
      </c>
      <c r="D122" s="29"/>
      <c r="E122" s="29" t="s">
        <v>153</v>
      </c>
      <c r="F122" s="29"/>
      <c r="G122" s="29"/>
      <c r="H122" s="48" t="str">
        <f>IFERROR(Линия3[[#This Row],[Количество]]/Линия3[[#This Row],[Шт. в поддоне]], "")</f>
        <v/>
      </c>
    </row>
    <row r="123" spans="1:8" hidden="1" x14ac:dyDescent="0.25">
      <c r="A123" s="78">
        <v>46051.104166666664</v>
      </c>
      <c r="B123" s="79">
        <f>Линия3[[#This Row],[Дата начала]]+Линия3[[#This Row],[Длительность]]</f>
        <v>46051.667229729726</v>
      </c>
      <c r="C123" s="28">
        <f>IF(E123="Вытеснение",TIME(0,30,0),
IF(E123="Передача смены",TIME(0,20,0),
IF(E123="Запуск",TIME(0,30,0),
IF(E123="Смена ассортимента",TIME(0,15,0),
IF(E123="Переналадка формата",TIME(5,0,0),
IF(E123="CIP 1",TIME(0,40,0),
IF(E123="CIP 2",TIME(2,30,0),
IF(E123="CIP 3",TIME(3,20,0),
IF(AND(ISNUMBER(F123),ISNUMBER(D123),D123&gt;0),F123/D123/24,"Ошибка")))))))))</f>
        <v>0.56306306306306309</v>
      </c>
      <c r="D123" s="29">
        <v>3700</v>
      </c>
      <c r="E123" s="29" t="s">
        <v>201</v>
      </c>
      <c r="F123" s="49">
        <v>50000</v>
      </c>
      <c r="G123" s="29">
        <v>480</v>
      </c>
      <c r="H123" s="48">
        <f>IFERROR(Линия3[[#This Row],[Количество]]/Линия3[[#This Row],[Шт. в поддоне]], "")</f>
        <v>104.16666666666667</v>
      </c>
    </row>
    <row r="124" spans="1:8" hidden="1" x14ac:dyDescent="0.25">
      <c r="A124" s="78">
        <f t="shared" ref="A124:A131" si="7">B123</f>
        <v>46051.667229729726</v>
      </c>
      <c r="B124" s="79">
        <f>Линия3[[#This Row],[Дата начала]]+Линия3[[#This Row],[Длительность]]</f>
        <v>46051.771396396391</v>
      </c>
      <c r="C124" s="28">
        <f t="shared" si="4"/>
        <v>0.10416666666666667</v>
      </c>
      <c r="D124" s="29"/>
      <c r="E124" s="29" t="s">
        <v>153</v>
      </c>
      <c r="F124" s="29"/>
      <c r="G124" s="29"/>
      <c r="H124" s="48" t="str">
        <f>IFERROR(Линия3[[#This Row],[Количество]]/Линия3[[#This Row],[Шт. в поддоне]], "")</f>
        <v/>
      </c>
    </row>
    <row r="125" spans="1:8" hidden="1" x14ac:dyDescent="0.25">
      <c r="A125" s="78">
        <f t="shared" si="7"/>
        <v>46051.771396396391</v>
      </c>
      <c r="B125" s="79">
        <f>Линия3[[#This Row],[Дата начала]]+Линия3[[#This Row],[Длительность]]</f>
        <v>46052.334459459453</v>
      </c>
      <c r="C125" s="28">
        <f t="shared" si="4"/>
        <v>0.56306306306306309</v>
      </c>
      <c r="D125" s="29">
        <v>3700</v>
      </c>
      <c r="E125" s="29" t="s">
        <v>201</v>
      </c>
      <c r="F125" s="49">
        <v>50000</v>
      </c>
      <c r="G125" s="29">
        <v>480</v>
      </c>
      <c r="H125" s="48">
        <f>IFERROR(Линия3[[#This Row],[Количество]]/Линия3[[#This Row],[Шт. в поддоне]], "")</f>
        <v>104.16666666666667</v>
      </c>
    </row>
    <row r="126" spans="1:8" hidden="1" x14ac:dyDescent="0.25">
      <c r="A126" s="78">
        <f t="shared" si="7"/>
        <v>46052.334459459453</v>
      </c>
      <c r="B126" s="79">
        <f>Линия3[[#This Row],[Дата начала]]+Линия3[[#This Row],[Длительность]]</f>
        <v>46052.438626126117</v>
      </c>
      <c r="C126" s="28">
        <f t="shared" si="4"/>
        <v>0.10416666666666667</v>
      </c>
      <c r="D126" s="34"/>
      <c r="E126" s="29" t="s">
        <v>153</v>
      </c>
      <c r="F126" s="29"/>
      <c r="G126" s="34"/>
      <c r="H126" s="46" t="str">
        <f>IFERROR(Линия3[[#This Row],[Количество]]/Линия3[[#This Row],[Шт. в поддоне]], "")</f>
        <v/>
      </c>
    </row>
    <row r="127" spans="1:8" hidden="1" x14ac:dyDescent="0.25">
      <c r="A127" s="78">
        <v>46052.291666666664</v>
      </c>
      <c r="B127" s="79">
        <f>Линия3[[#This Row],[Дата начала]]+Линия3[[#This Row],[Длительность]]</f>
        <v>46052.629504504504</v>
      </c>
      <c r="C127" s="28">
        <f t="shared" si="4"/>
        <v>0.33783783783783788</v>
      </c>
      <c r="D127" s="29">
        <v>3700</v>
      </c>
      <c r="E127" s="29" t="s">
        <v>201</v>
      </c>
      <c r="F127" s="49">
        <v>30000</v>
      </c>
      <c r="G127" s="29">
        <v>480</v>
      </c>
      <c r="H127" s="46">
        <f>IFERROR(Линия3[[#This Row],[Количество]]/Линия3[[#This Row],[Шт. в поддоне]], "")</f>
        <v>62.5</v>
      </c>
    </row>
    <row r="128" spans="1:8" hidden="1" x14ac:dyDescent="0.25">
      <c r="A128" s="78">
        <f t="shared" si="7"/>
        <v>46052.629504504504</v>
      </c>
      <c r="B128" s="79">
        <f>Линия3[[#This Row],[Дата начала]]+Линия3[[#This Row],[Длительность]]</f>
        <v>46052.83783783784</v>
      </c>
      <c r="C128" s="28">
        <v>0.20833333333333334</v>
      </c>
      <c r="D128" s="34"/>
      <c r="E128" s="34" t="s">
        <v>202</v>
      </c>
      <c r="F128" s="34"/>
      <c r="G128" s="34"/>
      <c r="H128" s="46" t="str">
        <f>IFERROR(Линия3[[#This Row],[Количество]]/Линия3[[#This Row],[Шт. в поддоне]], "")</f>
        <v/>
      </c>
    </row>
    <row r="129" spans="1:8" hidden="1" x14ac:dyDescent="0.25">
      <c r="A129" s="78">
        <f t="shared" si="7"/>
        <v>46052.83783783784</v>
      </c>
      <c r="B129" s="79">
        <f>Линия3[[#This Row],[Дата начала]]+Линия3[[#This Row],[Длительность]]</f>
        <v>46053.288288288291</v>
      </c>
      <c r="C129" s="28">
        <f t="shared" si="4"/>
        <v>0.45045045045045046</v>
      </c>
      <c r="D129" s="29">
        <v>3700</v>
      </c>
      <c r="E129" s="29" t="s">
        <v>179</v>
      </c>
      <c r="F129" s="29">
        <v>40000</v>
      </c>
      <c r="G129" s="29">
        <v>756</v>
      </c>
      <c r="H129" s="48">
        <f>IFERROR(Линия3[[#This Row],[Количество]]/Линия3[[#This Row],[Шт. в поддоне]], "")</f>
        <v>52.910052910052912</v>
      </c>
    </row>
    <row r="130" spans="1:8" hidden="1" x14ac:dyDescent="0.25">
      <c r="A130" s="78">
        <f t="shared" si="7"/>
        <v>46053.288288288291</v>
      </c>
      <c r="B130" s="79">
        <f>Линия3[[#This Row],[Дата начала]]+Линия3[[#This Row],[Длительность]]</f>
        <v>46053.392454954956</v>
      </c>
      <c r="C130" s="28">
        <f t="shared" si="4"/>
        <v>0.10416666666666667</v>
      </c>
      <c r="D130" s="29"/>
      <c r="E130" s="29" t="s">
        <v>153</v>
      </c>
      <c r="F130" s="29"/>
      <c r="G130" s="29"/>
      <c r="H130" s="48" t="str">
        <f>IFERROR(Линия3[[#This Row],[Количество]]/Линия3[[#This Row],[Шт. в поддоне]], "")</f>
        <v/>
      </c>
    </row>
    <row r="131" spans="1:8" hidden="1" x14ac:dyDescent="0.25">
      <c r="A131" s="78">
        <f t="shared" si="7"/>
        <v>46053.392454954956</v>
      </c>
      <c r="B131" s="79">
        <f>Линия3[[#This Row],[Дата начала]]+Линия3[[#This Row],[Длительность]]</f>
        <v>46054.135698198195</v>
      </c>
      <c r="C131" s="28">
        <f t="shared" si="4"/>
        <v>0.74324324324324331</v>
      </c>
      <c r="D131" s="29">
        <v>3700</v>
      </c>
      <c r="E131" s="29" t="s">
        <v>203</v>
      </c>
      <c r="F131" s="29">
        <v>66000</v>
      </c>
      <c r="G131" s="29">
        <v>756</v>
      </c>
      <c r="H131" s="48">
        <f>IFERROR(Линия3[[#This Row],[Количество]]/Линия3[[#This Row],[Шт. в поддоне]], "")</f>
        <v>87.301587301587304</v>
      </c>
    </row>
    <row r="132" spans="1:8" hidden="1" x14ac:dyDescent="0.25">
      <c r="A132" s="78">
        <f>'Линия 4'!B101</f>
        <v>46057.838293650799</v>
      </c>
      <c r="B132" s="79">
        <f>Линия3[[#This Row],[Дата начала]]+Линия3[[#This Row],[Длительность]]</f>
        <v>46057.942460317463</v>
      </c>
      <c r="C132" s="28">
        <f>IF(E132="Вытеснение",TIME(0,30,0),
IF(E132="Передача смены",TIME(0,20,0),
IF(E132="Запуск",TIME(0,30,0),
IF(E132="Смена ассортимента",TIME(0,15,0),
IF(E132="Переналадка формата",TIME(5,0,0),
IF(E132="CIP 1",TIME(0,40,0),
IF(E132="CIP 2",TIME(2,30,0),
IF(E132="CIP 3",TIME(3,20,0),
IF(AND(ISNUMBER(F132),ISNUMBER(D132),D132&gt;0),F132/D132/24,"Ошибка")))))))))</f>
        <v>0.10416666666666667</v>
      </c>
      <c r="D132" s="29"/>
      <c r="E132" s="29" t="s">
        <v>153</v>
      </c>
      <c r="F132" s="29"/>
      <c r="G132" s="29"/>
      <c r="H132" s="48" t="str">
        <f>IFERROR(Линия3[[#This Row],[Количество]]/Линия3[[#This Row],[Шт. в поддоне]], "")</f>
        <v/>
      </c>
    </row>
    <row r="133" spans="1:8" hidden="1" x14ac:dyDescent="0.25">
      <c r="A133" s="78">
        <f>B132</f>
        <v>46057.942460317463</v>
      </c>
      <c r="B133" s="79">
        <f>Линия3[[#This Row],[Дата начала]]+Линия3[[#This Row],[Длительность]]</f>
        <v>46058.422532781231</v>
      </c>
      <c r="C133" s="28">
        <f>IF(E133="Вытеснение",TIME(0,30,0),
IF(E133="Передача смены",TIME(0,20,0),
IF(E133="Запуск",TIME(0,30,0),
IF(E133="Смена ассортимента",TIME(0,15,0),
IF(E133="Переналадка формата",TIME(5,0,0),
IF(E133="CIP 1",TIME(0,40,0),
IF(E133="CIP 2",TIME(2,30,0),
IF(E133="CIP 3",TIME(3,20,0),
IF(AND(ISNUMBER(F133),ISNUMBER(D133),D133&gt;0),F133/D133/24,"Ошибка")))))))))</f>
        <v>0.48007246376811596</v>
      </c>
      <c r="D133" s="29">
        <v>4600</v>
      </c>
      <c r="E133" s="29" t="s">
        <v>183</v>
      </c>
      <c r="F133" s="29">
        <v>53000</v>
      </c>
      <c r="G133" s="29">
        <v>756</v>
      </c>
      <c r="H133" s="48">
        <f>IFERROR(Линия3[[#This Row],[Количество]]/Линия3[[#This Row],[Шт. в поддоне]], "")</f>
        <v>70.105820105820101</v>
      </c>
    </row>
    <row r="134" spans="1:8" hidden="1" x14ac:dyDescent="0.25">
      <c r="A134" s="78">
        <f t="shared" ref="A134:A168" si="8">B133</f>
        <v>46058.422532781231</v>
      </c>
      <c r="B134" s="79">
        <f>Линия3[[#This Row],[Дата начала]]+Линия3[[#This Row],[Длительность]]</f>
        <v>46058.630866114567</v>
      </c>
      <c r="C134" s="28">
        <f>IF(E134="Вытеснение",TIME(0,30,0),
IF(E134="Передача смены",TIME(0,20,0),
IF(E134="Запуск",TIME(0,30,0),
IF(E134="Смена ассортимента",TIME(0,15,0),
IF(ISNUMBER(SEARCH("переналадка",E134)),TIME(5,0,0),
IF(E134="CIP 1",TIME(0,40,0),
IF(E134="CIP 2",TIME(2,30,0),
IF(E134="CIP 3",TIME(3,20,0),
IF(AND(ISNUMBER(F134),ISNUMBER(D134),D134&gt;0),F134/D134/24,"Ошибка")))))))))</f>
        <v>0.20833333333333334</v>
      </c>
      <c r="D134" s="29"/>
      <c r="E134" s="80" t="s">
        <v>213</v>
      </c>
      <c r="F134" s="29"/>
      <c r="G134" s="29"/>
      <c r="H134" s="48" t="str">
        <f>IFERROR(Линия3[[#This Row],[Количество]]/Линия3[[#This Row],[Шт. в поддоне]], "")</f>
        <v/>
      </c>
    </row>
    <row r="135" spans="1:8" hidden="1" x14ac:dyDescent="0.25">
      <c r="A135" s="78">
        <v>46058.833333333336</v>
      </c>
      <c r="B135" s="79">
        <f>Линия3[[#This Row],[Дата начала]]+Линия3[[#This Row],[Длительность]]</f>
        <v>46059.238738738743</v>
      </c>
      <c r="C135" s="28">
        <f t="shared" ref="C135:C182" si="9">IF(E135="Вытеснение",TIME(0,30,0),
IF(E135="Передача смены",TIME(0,20,0),
IF(E135="Запуск",TIME(0,30,0),
IF(E135="Смена ассортимента",TIME(0,15,0),
IF(ISNUMBER(SEARCH("переналадка",E135)),TIME(5,0,0),
IF(E135="CIP 1",TIME(0,40,0),
IF(E135="CIP 2",TIME(2,30,0),
IF(E135="CIP 3",TIME(3,20,0),
IF(AND(ISNUMBER(F135),ISNUMBER(D135),D135&gt;0),F135/D135/24,"Ошибка")))))))))</f>
        <v>0.40540540540540543</v>
      </c>
      <c r="D135" s="29">
        <v>3700</v>
      </c>
      <c r="E135" s="29" t="s">
        <v>201</v>
      </c>
      <c r="F135" s="49">
        <v>36000</v>
      </c>
      <c r="G135" s="29">
        <v>480</v>
      </c>
      <c r="H135" s="48">
        <f>IFERROR(Линия3[[#This Row],[Количество]]/Линия3[[#This Row],[Шт. в поддоне]], "")</f>
        <v>75</v>
      </c>
    </row>
    <row r="136" spans="1:8" hidden="1" x14ac:dyDescent="0.25">
      <c r="A136" s="78">
        <f t="shared" si="8"/>
        <v>46059.238738738743</v>
      </c>
      <c r="B136" s="79">
        <f>Линия3[[#This Row],[Дата начала]]+Линия3[[#This Row],[Длительность]]</f>
        <v>46059.377627627633</v>
      </c>
      <c r="C136" s="28">
        <f t="shared" si="9"/>
        <v>0.1388888888888889</v>
      </c>
      <c r="D136" s="29"/>
      <c r="E136" s="34" t="s">
        <v>158</v>
      </c>
      <c r="F136" s="49"/>
      <c r="G136" s="29"/>
      <c r="H136" s="48" t="str">
        <f>IFERROR(Линия3[[#This Row],[Количество]]/Линия3[[#This Row],[Шт. в поддоне]], "")</f>
        <v/>
      </c>
    </row>
    <row r="137" spans="1:8" hidden="1" x14ac:dyDescent="0.25">
      <c r="A137" s="78">
        <f t="shared" si="8"/>
        <v>46059.377627627633</v>
      </c>
      <c r="B137" s="79">
        <f>Линия3[[#This Row],[Дата начала]]+Линия3[[#This Row],[Длительность]]</f>
        <v>46059.715465465473</v>
      </c>
      <c r="C137" s="28">
        <f t="shared" si="9"/>
        <v>0.33783783783783788</v>
      </c>
      <c r="D137" s="29">
        <v>3700</v>
      </c>
      <c r="E137" s="29" t="s">
        <v>211</v>
      </c>
      <c r="F137" s="49">
        <v>30000</v>
      </c>
      <c r="G137" s="29">
        <v>480</v>
      </c>
      <c r="H137" s="48">
        <f>IFERROR(Линия3[[#This Row],[Количество]]/Линия3[[#This Row],[Шт. в поддоне]], "")</f>
        <v>62.5</v>
      </c>
    </row>
    <row r="138" spans="1:8" hidden="1" x14ac:dyDescent="0.25">
      <c r="A138" s="78">
        <f t="shared" si="8"/>
        <v>46059.715465465473</v>
      </c>
      <c r="B138" s="79">
        <f>Линия3[[#This Row],[Дата начала]]+Линия3[[#This Row],[Длительность]]</f>
        <v>46059.819632132137</v>
      </c>
      <c r="C138" s="28">
        <f t="shared" si="9"/>
        <v>0.10416666666666667</v>
      </c>
      <c r="D138" s="29"/>
      <c r="E138" s="34" t="s">
        <v>153</v>
      </c>
      <c r="F138" s="49"/>
      <c r="G138" s="29"/>
      <c r="H138" s="48" t="str">
        <f>IFERROR(Линия3[[#This Row],[Количество]]/Линия3[[#This Row],[Шт. в поддоне]], "")</f>
        <v/>
      </c>
    </row>
    <row r="139" spans="1:8" hidden="1" x14ac:dyDescent="0.25">
      <c r="A139" s="78">
        <f t="shared" si="8"/>
        <v>46059.819632132137</v>
      </c>
      <c r="B139" s="79">
        <f>Линия3[[#This Row],[Дата начала]]+Линия3[[#This Row],[Длительность]]</f>
        <v>46060.000791552426</v>
      </c>
      <c r="C139" s="28">
        <f t="shared" si="9"/>
        <v>0.18115942028985507</v>
      </c>
      <c r="D139" s="29">
        <v>4600</v>
      </c>
      <c r="E139" s="29" t="s">
        <v>208</v>
      </c>
      <c r="F139" s="49">
        <v>20000</v>
      </c>
      <c r="G139" s="29">
        <v>480</v>
      </c>
      <c r="H139" s="48">
        <f>IFERROR(Линия3[[#This Row],[Количество]]/Линия3[[#This Row],[Шт. в поддоне]], "")</f>
        <v>41.666666666666664</v>
      </c>
    </row>
    <row r="140" spans="1:8" hidden="1" x14ac:dyDescent="0.25">
      <c r="A140" s="78">
        <f t="shared" si="8"/>
        <v>46060.000791552426</v>
      </c>
      <c r="B140" s="79">
        <f>Линия3[[#This Row],[Дата начала]]+Линия3[[#This Row],[Длительность]]</f>
        <v>46060.021624885761</v>
      </c>
      <c r="C140" s="28">
        <f t="shared" si="9"/>
        <v>2.0833333333333332E-2</v>
      </c>
      <c r="D140" s="29"/>
      <c r="E140" s="29" t="s">
        <v>162</v>
      </c>
      <c r="F140" s="49"/>
      <c r="G140" s="29"/>
      <c r="H140" s="48" t="str">
        <f>IFERROR(Линия3[[#This Row],[Количество]]/Линия3[[#This Row],[Шт. в поддоне]], "")</f>
        <v/>
      </c>
    </row>
    <row r="141" spans="1:8" hidden="1" x14ac:dyDescent="0.25">
      <c r="A141" s="78">
        <f t="shared" si="8"/>
        <v>46060.021624885761</v>
      </c>
      <c r="B141" s="79">
        <f>Линия3[[#This Row],[Дата начала]]+Линия3[[#This Row],[Длительность]]</f>
        <v>46060.20278430605</v>
      </c>
      <c r="C141" s="28">
        <f t="shared" si="9"/>
        <v>0.18115942028985507</v>
      </c>
      <c r="D141" s="29">
        <v>4600</v>
      </c>
      <c r="E141" s="29" t="s">
        <v>216</v>
      </c>
      <c r="F141" s="49">
        <v>20000</v>
      </c>
      <c r="G141" s="29">
        <v>480</v>
      </c>
      <c r="H141" s="48">
        <f>IFERROR(Линия3[[#This Row],[Количество]]/Линия3[[#This Row],[Шт. в поддоне]], "")</f>
        <v>41.666666666666664</v>
      </c>
    </row>
    <row r="142" spans="1:8" hidden="1" x14ac:dyDescent="0.25">
      <c r="A142" s="78">
        <f t="shared" si="8"/>
        <v>46060.20278430605</v>
      </c>
      <c r="B142" s="79">
        <f>Линия3[[#This Row],[Дата начала]]+Линия3[[#This Row],[Длительность]]</f>
        <v>46060.306950972714</v>
      </c>
      <c r="C142" s="28">
        <f t="shared" si="9"/>
        <v>0.10416666666666667</v>
      </c>
      <c r="D142" s="29"/>
      <c r="E142" s="29" t="s">
        <v>153</v>
      </c>
      <c r="F142" s="49"/>
      <c r="G142" s="29"/>
      <c r="H142" s="48" t="str">
        <f>IFERROR(Линия3[[#This Row],[Количество]]/Линия3[[#This Row],[Шт. в поддоне]], "")</f>
        <v/>
      </c>
    </row>
    <row r="143" spans="1:8" hidden="1" x14ac:dyDescent="0.25">
      <c r="A143" s="78">
        <f t="shared" si="8"/>
        <v>46060.306950972714</v>
      </c>
      <c r="B143" s="79">
        <f>Линия3[[#This Row],[Дата начала]]+Линия3[[#This Row],[Длительность]]</f>
        <v>46060.66926981329</v>
      </c>
      <c r="C143" s="28">
        <f t="shared" si="9"/>
        <v>0.36231884057971014</v>
      </c>
      <c r="D143" s="29">
        <v>4600</v>
      </c>
      <c r="E143" s="29" t="s">
        <v>209</v>
      </c>
      <c r="F143" s="49">
        <v>40000</v>
      </c>
      <c r="G143" s="29">
        <v>480</v>
      </c>
      <c r="H143" s="48">
        <f>IFERROR(Линия3[[#This Row],[Количество]]/Линия3[[#This Row],[Шт. в поддоне]], "")</f>
        <v>83.333333333333329</v>
      </c>
    </row>
    <row r="144" spans="1:8" hidden="1" x14ac:dyDescent="0.25">
      <c r="A144" s="78">
        <f t="shared" si="8"/>
        <v>46060.66926981329</v>
      </c>
      <c r="B144" s="79">
        <f>Линия3[[#This Row],[Дата начала]]+Линия3[[#This Row],[Длительность]]</f>
        <v>46060.877603146626</v>
      </c>
      <c r="C144" s="28">
        <f t="shared" si="9"/>
        <v>0.20833333333333334</v>
      </c>
      <c r="D144" s="29"/>
      <c r="E144" s="80" t="s">
        <v>185</v>
      </c>
      <c r="F144" s="49"/>
      <c r="G144" s="29"/>
      <c r="H144" s="48" t="str">
        <f>IFERROR(Линия3[[#This Row],[Количество]]/Линия3[[#This Row],[Шт. в поддоне]], "")</f>
        <v/>
      </c>
    </row>
    <row r="145" spans="1:8" hidden="1" x14ac:dyDescent="0.25">
      <c r="A145" s="78">
        <f t="shared" si="8"/>
        <v>46060.877603146626</v>
      </c>
      <c r="B145" s="79">
        <f>Линия3[[#This Row],[Дата начала]]+Линия3[[#This Row],[Длительность]]</f>
        <v>46061.330501697354</v>
      </c>
      <c r="C145" s="28">
        <f t="shared" si="9"/>
        <v>0.45289855072463769</v>
      </c>
      <c r="D145" s="29">
        <v>4600</v>
      </c>
      <c r="E145" s="29" t="s">
        <v>196</v>
      </c>
      <c r="F145" s="49">
        <v>50000</v>
      </c>
      <c r="G145" s="29">
        <v>504</v>
      </c>
      <c r="H145" s="48">
        <f>IFERROR(Линия3[[#This Row],[Количество]]/Линия3[[#This Row],[Шт. в поддоне]], "")</f>
        <v>99.206349206349202</v>
      </c>
    </row>
    <row r="146" spans="1:8" hidden="1" x14ac:dyDescent="0.25">
      <c r="A146" s="78">
        <f t="shared" si="8"/>
        <v>46061.330501697354</v>
      </c>
      <c r="B146" s="79">
        <f>Линия3[[#This Row],[Дата начала]]+Линия3[[#This Row],[Длительность]]</f>
        <v>46061.351335030689</v>
      </c>
      <c r="C146" s="28">
        <f t="shared" si="9"/>
        <v>2.0833333333333332E-2</v>
      </c>
      <c r="D146" s="29"/>
      <c r="E146" s="29" t="s">
        <v>162</v>
      </c>
      <c r="F146" s="49"/>
      <c r="G146" s="29"/>
      <c r="H146" s="48" t="str">
        <f>IFERROR(Линия3[[#This Row],[Количество]]/Линия3[[#This Row],[Шт. в поддоне]], "")</f>
        <v/>
      </c>
    </row>
    <row r="147" spans="1:8" hidden="1" x14ac:dyDescent="0.25">
      <c r="A147" s="78">
        <f t="shared" si="8"/>
        <v>46061.351335030689</v>
      </c>
      <c r="B147" s="79">
        <f>Линия3[[#This Row],[Дата начала]]+Линия3[[#This Row],[Длительность]]</f>
        <v>46061.914398093752</v>
      </c>
      <c r="C147" s="28">
        <f t="shared" si="9"/>
        <v>0.56306306306306309</v>
      </c>
      <c r="D147" s="29">
        <v>3700</v>
      </c>
      <c r="E147" s="29" t="s">
        <v>195</v>
      </c>
      <c r="F147" s="49">
        <v>50000</v>
      </c>
      <c r="G147" s="29">
        <v>504</v>
      </c>
      <c r="H147" s="48">
        <f>IFERROR(Линия3[[#This Row],[Количество]]/Линия3[[#This Row],[Шт. в поддоне]], "")</f>
        <v>99.206349206349202</v>
      </c>
    </row>
    <row r="148" spans="1:8" hidden="1" x14ac:dyDescent="0.25">
      <c r="A148" s="78">
        <v>46062.375</v>
      </c>
      <c r="B148" s="79">
        <f>Линия3[[#This Row],[Дата начала]]+Линия3[[#This Row],[Длительность]]</f>
        <v>46062.513888888891</v>
      </c>
      <c r="C148" s="28">
        <f t="shared" si="9"/>
        <v>0.1388888888888889</v>
      </c>
      <c r="D148" s="29"/>
      <c r="E148" s="29" t="s">
        <v>158</v>
      </c>
      <c r="F148" s="49"/>
      <c r="G148" s="29"/>
      <c r="H148" s="48" t="str">
        <f>IFERROR(Линия3[[#This Row],[Количество]]/Линия3[[#This Row],[Шт. в поддоне]], "")</f>
        <v/>
      </c>
    </row>
    <row r="149" spans="1:8" hidden="1" x14ac:dyDescent="0.25">
      <c r="A149" s="78">
        <f t="shared" si="8"/>
        <v>46062.513888888891</v>
      </c>
      <c r="B149" s="79">
        <f>Линия3[[#This Row],[Дата начала]]+Линия3[[#This Row],[Длительность]]</f>
        <v>46062.966787439618</v>
      </c>
      <c r="C149" s="28">
        <f t="shared" si="9"/>
        <v>0.45289855072463769</v>
      </c>
      <c r="D149" s="29">
        <v>4600</v>
      </c>
      <c r="E149" s="29" t="s">
        <v>190</v>
      </c>
      <c r="F149" s="49">
        <v>50000</v>
      </c>
      <c r="G149" s="29">
        <v>504</v>
      </c>
      <c r="H149" s="48">
        <f>IFERROR(Линия3[[#This Row],[Количество]]/Линия3[[#This Row],[Шт. в поддоне]], "")</f>
        <v>99.206349206349202</v>
      </c>
    </row>
    <row r="150" spans="1:8" hidden="1" x14ac:dyDescent="0.25">
      <c r="A150" s="78">
        <f t="shared" si="8"/>
        <v>46062.966787439618</v>
      </c>
      <c r="B150" s="79">
        <f>Линия3[[#This Row],[Дата начала]]+Линия3[[#This Row],[Длительность]]</f>
        <v>46063.070954106282</v>
      </c>
      <c r="C150" s="28">
        <f t="shared" si="9"/>
        <v>0.10416666666666667</v>
      </c>
      <c r="D150" s="29"/>
      <c r="E150" s="29" t="s">
        <v>153</v>
      </c>
      <c r="F150" s="49"/>
      <c r="G150" s="29"/>
      <c r="H150" s="48" t="str">
        <f>IFERROR(Линия3[[#This Row],[Количество]]/Линия3[[#This Row],[Шт. в поддоне]], "")</f>
        <v/>
      </c>
    </row>
    <row r="151" spans="1:8" hidden="1" x14ac:dyDescent="0.25">
      <c r="A151" s="78">
        <v>46063.333333333336</v>
      </c>
      <c r="B151" s="79">
        <v>46064.708333333336</v>
      </c>
      <c r="C151" s="28">
        <f t="shared" si="9"/>
        <v>0.56306306306306309</v>
      </c>
      <c r="D151" s="29">
        <v>3700</v>
      </c>
      <c r="E151" s="29" t="s">
        <v>194</v>
      </c>
      <c r="F151" s="49">
        <v>50000</v>
      </c>
      <c r="G151" s="29">
        <v>504</v>
      </c>
      <c r="H151" s="48">
        <f>IFERROR(Линия3[[#This Row],[Количество]]/Линия3[[#This Row],[Шт. в поддоне]], "")</f>
        <v>99.206349206349202</v>
      </c>
    </row>
    <row r="152" spans="1:8" hidden="1" x14ac:dyDescent="0.25">
      <c r="A152" s="78">
        <f t="shared" si="8"/>
        <v>46064.708333333336</v>
      </c>
      <c r="B152" s="79">
        <f>Линия3[[#This Row],[Дата начала]]+Линия3[[#This Row],[Длительность]]</f>
        <v>46064.8125</v>
      </c>
      <c r="C152" s="28">
        <f t="shared" si="9"/>
        <v>0.10416666666666667</v>
      </c>
      <c r="D152" s="29"/>
      <c r="E152" s="29" t="s">
        <v>153</v>
      </c>
      <c r="F152" s="49"/>
      <c r="G152" s="29"/>
      <c r="H152" s="48" t="str">
        <f>IFERROR(Линия3[[#This Row],[Количество]]/Линия3[[#This Row],[Шт. в поддоне]], "")</f>
        <v/>
      </c>
    </row>
    <row r="153" spans="1:8" hidden="1" x14ac:dyDescent="0.25">
      <c r="A153" s="78">
        <f t="shared" si="8"/>
        <v>46064.8125</v>
      </c>
      <c r="B153" s="79">
        <f>Линия3[[#This Row],[Дата начала]]+Линия3[[#This Row],[Длительность]]</f>
        <v>46065.375563063062</v>
      </c>
      <c r="C153" s="28">
        <f t="shared" si="9"/>
        <v>0.56306306306306309</v>
      </c>
      <c r="D153" s="29">
        <v>3700</v>
      </c>
      <c r="E153" s="29" t="s">
        <v>186</v>
      </c>
      <c r="F153" s="49">
        <v>50000</v>
      </c>
      <c r="G153" s="29">
        <v>504</v>
      </c>
      <c r="H153" s="48">
        <f>IFERROR(Линия3[[#This Row],[Количество]]/Линия3[[#This Row],[Шт. в поддоне]], "")</f>
        <v>99.206349206349202</v>
      </c>
    </row>
    <row r="154" spans="1:8" hidden="1" x14ac:dyDescent="0.25">
      <c r="A154" s="78">
        <f t="shared" si="8"/>
        <v>46065.375563063062</v>
      </c>
      <c r="B154" s="79">
        <f>Линия3[[#This Row],[Дата начала]]+Линия3[[#This Row],[Длительность]]</f>
        <v>46065.479729729726</v>
      </c>
      <c r="C154" s="28">
        <f t="shared" si="9"/>
        <v>0.10416666666666667</v>
      </c>
      <c r="D154" s="29"/>
      <c r="E154" s="29" t="s">
        <v>153</v>
      </c>
      <c r="F154" s="49"/>
      <c r="G154" s="29"/>
      <c r="H154" s="48" t="str">
        <f>IFERROR(Линия3[[#This Row],[Количество]]/Линия3[[#This Row],[Шт. в поддоне]], "")</f>
        <v/>
      </c>
    </row>
    <row r="155" spans="1:8" hidden="1" x14ac:dyDescent="0.25">
      <c r="A155" s="78">
        <v>46066.041666666664</v>
      </c>
      <c r="B155" s="79">
        <f>Линия3[[#This Row],[Дата начала]]+Линия3[[#This Row],[Длительность]]</f>
        <v>46066.494565217392</v>
      </c>
      <c r="C155" s="28">
        <f t="shared" si="9"/>
        <v>0.45289855072463769</v>
      </c>
      <c r="D155" s="29">
        <v>4600</v>
      </c>
      <c r="E155" s="29" t="s">
        <v>187</v>
      </c>
      <c r="F155" s="49">
        <v>50000</v>
      </c>
      <c r="G155" s="29">
        <v>504</v>
      </c>
      <c r="H155" s="48">
        <f>IFERROR(Линия3[[#This Row],[Количество]]/Линия3[[#This Row],[Шт. в поддоне]], "")</f>
        <v>99.206349206349202</v>
      </c>
    </row>
    <row r="156" spans="1:8" hidden="1" x14ac:dyDescent="0.25">
      <c r="A156" s="78">
        <f t="shared" si="8"/>
        <v>46066.494565217392</v>
      </c>
      <c r="B156" s="79">
        <f>Линия3[[#This Row],[Дата начала]]+Линия3[[#This Row],[Длительность]]</f>
        <v>46066.633454106282</v>
      </c>
      <c r="C156" s="28">
        <f t="shared" si="9"/>
        <v>0.1388888888888889</v>
      </c>
      <c r="D156" s="29"/>
      <c r="E156" s="29" t="s">
        <v>158</v>
      </c>
      <c r="F156" s="49"/>
      <c r="G156" s="29"/>
      <c r="H156" s="48" t="str">
        <f>IFERROR(Линия3[[#This Row],[Количество]]/Линия3[[#This Row],[Шт. в поддоне]], "")</f>
        <v/>
      </c>
    </row>
    <row r="157" spans="1:8" hidden="1" x14ac:dyDescent="0.25">
      <c r="A157" s="78">
        <f t="shared" si="8"/>
        <v>46066.633454106282</v>
      </c>
      <c r="B157" s="79">
        <f>Линия3[[#This Row],[Дата начала]]+Линия3[[#This Row],[Длительность]]</f>
        <v>46067.196517169345</v>
      </c>
      <c r="C157" s="28">
        <f t="shared" si="9"/>
        <v>0.56306306306306309</v>
      </c>
      <c r="D157" s="29">
        <v>3700</v>
      </c>
      <c r="E157" s="29" t="s">
        <v>194</v>
      </c>
      <c r="F157" s="49">
        <v>50000</v>
      </c>
      <c r="G157" s="29">
        <v>504</v>
      </c>
      <c r="H157" s="48">
        <f>IFERROR(Линия3[[#This Row],[Количество]]/Линия3[[#This Row],[Шт. в поддоне]], "")</f>
        <v>99.206349206349202</v>
      </c>
    </row>
    <row r="158" spans="1:8" hidden="1" x14ac:dyDescent="0.25">
      <c r="A158" s="78">
        <f t="shared" si="8"/>
        <v>46067.196517169345</v>
      </c>
      <c r="B158" s="79">
        <f>Линия3[[#This Row],[Дата начала]]+Линия3[[#This Row],[Длительность]]</f>
        <v>46067.40485050268</v>
      </c>
      <c r="C158" s="28">
        <f t="shared" si="9"/>
        <v>0.20833333333333334</v>
      </c>
      <c r="D158" s="29"/>
      <c r="E158" s="29" t="s">
        <v>217</v>
      </c>
      <c r="F158" s="49"/>
      <c r="G158" s="29"/>
      <c r="H158" s="48" t="str">
        <f>IFERROR(Линия3[[#This Row],[Количество]]/Линия3[[#This Row],[Шт. в поддоне]], "")</f>
        <v/>
      </c>
    </row>
    <row r="159" spans="1:8" hidden="1" x14ac:dyDescent="0.25">
      <c r="A159" s="78">
        <f t="shared" si="8"/>
        <v>46067.40485050268</v>
      </c>
      <c r="B159" s="79">
        <f>Линия3[[#This Row],[Дата начала]]+Линия3[[#This Row],[Длительность]]</f>
        <v>46068.14809374592</v>
      </c>
      <c r="C159" s="28">
        <f t="shared" si="9"/>
        <v>0.74324324324324331</v>
      </c>
      <c r="D159" s="29">
        <v>3700</v>
      </c>
      <c r="E159" s="29" t="s">
        <v>203</v>
      </c>
      <c r="F159" s="49">
        <v>66000</v>
      </c>
      <c r="G159" s="29">
        <v>756</v>
      </c>
      <c r="H159" s="48">
        <f>IFERROR(Линия3[[#This Row],[Количество]]/Линия3[[#This Row],[Шт. в поддоне]], "")</f>
        <v>87.301587301587304</v>
      </c>
    </row>
    <row r="160" spans="1:8" hidden="1" x14ac:dyDescent="0.25">
      <c r="A160" s="78">
        <f t="shared" si="8"/>
        <v>46068.14809374592</v>
      </c>
      <c r="B160" s="79">
        <f>Линия3[[#This Row],[Дата начала]]+Линия3[[#This Row],[Длительность]]</f>
        <v>46068.252260412584</v>
      </c>
      <c r="C160" s="28">
        <f t="shared" si="9"/>
        <v>0.10416666666666667</v>
      </c>
      <c r="D160" s="29"/>
      <c r="E160" s="29" t="s">
        <v>153</v>
      </c>
      <c r="F160" s="49"/>
      <c r="G160" s="29"/>
      <c r="H160" s="48" t="str">
        <f>IFERROR(Линия3[[#This Row],[Количество]]/Линия3[[#This Row],[Шт. в поддоне]], "")</f>
        <v/>
      </c>
    </row>
    <row r="161" spans="1:8" hidden="1" x14ac:dyDescent="0.25">
      <c r="A161" s="78">
        <v>46069.125</v>
      </c>
      <c r="B161" s="79">
        <f>Линия3[[#This Row],[Дата начала]]+Линия3[[#This Row],[Длительность]]</f>
        <v>46069.86824324324</v>
      </c>
      <c r="C161" s="28">
        <f t="shared" si="9"/>
        <v>0.74324324324324331</v>
      </c>
      <c r="D161" s="29">
        <v>3700</v>
      </c>
      <c r="E161" s="29" t="s">
        <v>204</v>
      </c>
      <c r="F161" s="49">
        <v>66000</v>
      </c>
      <c r="G161" s="29">
        <v>756</v>
      </c>
      <c r="H161" s="48">
        <f>IFERROR(Линия3[[#This Row],[Количество]]/Линия3[[#This Row],[Шт. в поддоне]], "")</f>
        <v>87.301587301587304</v>
      </c>
    </row>
    <row r="162" spans="1:8" hidden="1" x14ac:dyDescent="0.25">
      <c r="A162" s="78">
        <f t="shared" si="8"/>
        <v>46069.86824324324</v>
      </c>
      <c r="B162" s="79">
        <f>Линия3[[#This Row],[Дата начала]]+Линия3[[#This Row],[Длительность]]</f>
        <v>46070.00713213213</v>
      </c>
      <c r="C162" s="28">
        <f t="shared" si="9"/>
        <v>0.1388888888888889</v>
      </c>
      <c r="D162" s="29"/>
      <c r="E162" s="29" t="s">
        <v>158</v>
      </c>
      <c r="F162" s="49"/>
      <c r="G162" s="29"/>
      <c r="H162" s="48" t="str">
        <f>IFERROR(Линия3[[#This Row],[Количество]]/Линия3[[#This Row],[Шт. в поддоне]], "")</f>
        <v/>
      </c>
    </row>
    <row r="163" spans="1:8" hidden="1" x14ac:dyDescent="0.25">
      <c r="A163" s="78">
        <f t="shared" si="8"/>
        <v>46070.00713213213</v>
      </c>
      <c r="B163" s="79">
        <f>Линия3[[#This Row],[Дата начала]]+Линия3[[#This Row],[Длительность]]</f>
        <v>46070.041371262567</v>
      </c>
      <c r="C163" s="28">
        <f t="shared" si="9"/>
        <v>3.4239130434782612E-2</v>
      </c>
      <c r="D163" s="29">
        <v>4600</v>
      </c>
      <c r="E163" s="29" t="s">
        <v>218</v>
      </c>
      <c r="F163" s="49">
        <v>3780</v>
      </c>
      <c r="G163" s="29">
        <v>756</v>
      </c>
      <c r="H163" s="48">
        <f>IFERROR(Линия3[[#This Row],[Количество]]/Линия3[[#This Row],[Шт. в поддоне]], "")</f>
        <v>5</v>
      </c>
    </row>
    <row r="164" spans="1:8" hidden="1" x14ac:dyDescent="0.25">
      <c r="A164" s="78">
        <f t="shared" si="8"/>
        <v>46070.041371262567</v>
      </c>
      <c r="B164" s="79">
        <f>Линия3[[#This Row],[Дата начала]]+Линия3[[#This Row],[Длительность]]</f>
        <v>46070.051787929231</v>
      </c>
      <c r="C164" s="28">
        <f t="shared" si="9"/>
        <v>1.0416666666666666E-2</v>
      </c>
      <c r="D164" s="29"/>
      <c r="E164" s="29" t="s">
        <v>180</v>
      </c>
      <c r="F164" s="49"/>
      <c r="G164" s="29"/>
      <c r="H164" s="48" t="str">
        <f>IFERROR(Линия3[[#This Row],[Количество]]/Линия3[[#This Row],[Шт. в поддоне]], "")</f>
        <v/>
      </c>
    </row>
    <row r="165" spans="1:8" hidden="1" x14ac:dyDescent="0.25">
      <c r="A165" s="78">
        <f t="shared" si="8"/>
        <v>46070.051787929231</v>
      </c>
      <c r="B165" s="79">
        <f>Линия3[[#This Row],[Дата начала]]+Линия3[[#This Row],[Длительность]]</f>
        <v>46070.359758943727</v>
      </c>
      <c r="C165" s="28">
        <f t="shared" si="9"/>
        <v>0.3079710144927536</v>
      </c>
      <c r="D165" s="29">
        <v>4600</v>
      </c>
      <c r="E165" s="29" t="s">
        <v>182</v>
      </c>
      <c r="F165" s="49">
        <v>34000</v>
      </c>
      <c r="G165" s="29">
        <v>756</v>
      </c>
      <c r="H165" s="48">
        <f>IFERROR(Линия3[[#This Row],[Количество]]/Линия3[[#This Row],[Шт. в поддоне]], "")</f>
        <v>44.973544973544975</v>
      </c>
    </row>
    <row r="166" spans="1:8" hidden="1" x14ac:dyDescent="0.25">
      <c r="A166" s="78">
        <f t="shared" si="8"/>
        <v>46070.359758943727</v>
      </c>
      <c r="B166" s="79">
        <f>Линия3[[#This Row],[Дата начала]]+Линия3[[#This Row],[Длительность]]</f>
        <v>46070.498647832617</v>
      </c>
      <c r="C166" s="28">
        <f t="shared" si="9"/>
        <v>0.1388888888888889</v>
      </c>
      <c r="D166" s="29"/>
      <c r="E166" s="29" t="s">
        <v>158</v>
      </c>
      <c r="F166" s="29"/>
      <c r="G166" s="29"/>
      <c r="H166" s="48" t="str">
        <f>IFERROR(Линия3[[#This Row],[Количество]]/Линия3[[#This Row],[Шт. в поддоне]], "")</f>
        <v/>
      </c>
    </row>
    <row r="167" spans="1:8" hidden="1" x14ac:dyDescent="0.25">
      <c r="A167" s="78">
        <f t="shared" si="8"/>
        <v>46070.498647832617</v>
      </c>
      <c r="B167" s="79">
        <v>46071.833333333336</v>
      </c>
      <c r="C167" s="28">
        <f t="shared" si="9"/>
        <v>0.74324324324324331</v>
      </c>
      <c r="D167" s="29">
        <v>3700</v>
      </c>
      <c r="E167" s="29" t="s">
        <v>181</v>
      </c>
      <c r="F167" s="49">
        <v>66000</v>
      </c>
      <c r="G167" s="29">
        <v>756</v>
      </c>
      <c r="H167" s="48">
        <f>IFERROR(Линия3[[#This Row],[Количество]]/Линия3[[#This Row],[Шт. в поддоне]], "")</f>
        <v>87.301587301587304</v>
      </c>
    </row>
    <row r="168" spans="1:8" hidden="1" x14ac:dyDescent="0.25">
      <c r="A168" s="78">
        <f t="shared" si="8"/>
        <v>46071.833333333336</v>
      </c>
      <c r="B168" s="79">
        <f>Линия3[[#This Row],[Дата начала]]+Линия3[[#This Row],[Длительность]]</f>
        <v>46072.041666666672</v>
      </c>
      <c r="C168" s="28">
        <f t="shared" si="9"/>
        <v>0.20833333333333334</v>
      </c>
      <c r="D168" s="34"/>
      <c r="E168" s="34" t="s">
        <v>206</v>
      </c>
      <c r="F168" s="49"/>
      <c r="G168" s="34"/>
      <c r="H168" s="46" t="str">
        <f>IFERROR(Линия3[[#This Row],[Количество]]/Линия3[[#This Row],[Шт. в поддоне]], "")</f>
        <v/>
      </c>
    </row>
    <row r="169" spans="1:8" hidden="1" x14ac:dyDescent="0.25">
      <c r="A169" s="78">
        <v>46072.104166666664</v>
      </c>
      <c r="B169" s="79">
        <v>46072.541666666664</v>
      </c>
      <c r="C169" s="28">
        <f t="shared" si="9"/>
        <v>0.27173913043478259</v>
      </c>
      <c r="D169" s="29">
        <v>4600</v>
      </c>
      <c r="E169" s="29" t="s">
        <v>216</v>
      </c>
      <c r="F169" s="49">
        <v>30000</v>
      </c>
      <c r="G169" s="29">
        <v>480</v>
      </c>
      <c r="H169" s="48">
        <f>IFERROR(Линия3[[#This Row],[Количество]]/Линия3[[#This Row],[Шт. в поддоне]], "")</f>
        <v>62.5</v>
      </c>
    </row>
    <row r="170" spans="1:8" hidden="1" x14ac:dyDescent="0.25">
      <c r="A170" s="78">
        <f t="shared" ref="A170:A177" si="10">B169</f>
        <v>46072.541666666664</v>
      </c>
      <c r="B170" s="79">
        <f>Линия3[[#This Row],[Дата начала]]+Линия3[[#This Row],[Длительность]]</f>
        <v>46072.5625</v>
      </c>
      <c r="C170" s="28">
        <f t="shared" si="9"/>
        <v>2.0833333333333332E-2</v>
      </c>
      <c r="D170" s="29"/>
      <c r="E170" s="29" t="s">
        <v>162</v>
      </c>
      <c r="F170" s="49"/>
      <c r="G170" s="29"/>
      <c r="H170" s="48" t="str">
        <f>IFERROR(Линия3[[#This Row],[Количество]]/Линия3[[#This Row],[Шт. в поддоне]], "")</f>
        <v/>
      </c>
    </row>
    <row r="171" spans="1:8" hidden="1" x14ac:dyDescent="0.25">
      <c r="A171" s="78">
        <f t="shared" si="10"/>
        <v>46072.5625</v>
      </c>
      <c r="B171" s="79">
        <f>Линия3[[#This Row],[Дата начала]]+Линия3[[#This Row],[Длительность]]</f>
        <v>46072.653079710144</v>
      </c>
      <c r="C171" s="28">
        <f t="shared" si="9"/>
        <v>9.0579710144927536E-2</v>
      </c>
      <c r="D171" s="29">
        <v>4600</v>
      </c>
      <c r="E171" s="34" t="s">
        <v>207</v>
      </c>
      <c r="F171" s="49">
        <v>10000</v>
      </c>
      <c r="G171" s="29">
        <v>480</v>
      </c>
      <c r="H171" s="46">
        <f>IFERROR(Линия3[[#This Row],[Количество]]/Линия3[[#This Row],[Шт. в поддоне]], "")</f>
        <v>20.833333333333332</v>
      </c>
    </row>
    <row r="172" spans="1:8" hidden="1" x14ac:dyDescent="0.25">
      <c r="A172" s="78">
        <f t="shared" si="10"/>
        <v>46072.653079710144</v>
      </c>
      <c r="B172" s="79">
        <f>Линия3[[#This Row],[Дата начала]]+Линия3[[#This Row],[Длительность]]</f>
        <v>46072.67391304348</v>
      </c>
      <c r="C172" s="28">
        <f t="shared" si="9"/>
        <v>2.0833333333333332E-2</v>
      </c>
      <c r="D172" s="29"/>
      <c r="E172" s="29" t="s">
        <v>162</v>
      </c>
      <c r="F172" s="49"/>
      <c r="G172" s="29"/>
      <c r="H172" s="48" t="str">
        <f>IFERROR(Линия3[[#This Row],[Количество]]/Линия3[[#This Row],[Шт. в поддоне]], "")</f>
        <v/>
      </c>
    </row>
    <row r="173" spans="1:8" hidden="1" x14ac:dyDescent="0.25">
      <c r="A173" s="78">
        <f t="shared" si="10"/>
        <v>46072.67391304348</v>
      </c>
      <c r="B173" s="79">
        <f>Линия3[[#This Row],[Дата начала]]+Линия3[[#This Row],[Длительность]]</f>
        <v>46072.945652173912</v>
      </c>
      <c r="C173" s="28">
        <f t="shared" si="9"/>
        <v>0.27173913043478259</v>
      </c>
      <c r="D173" s="29">
        <v>4600</v>
      </c>
      <c r="E173" s="29" t="s">
        <v>208</v>
      </c>
      <c r="F173" s="49">
        <v>30000</v>
      </c>
      <c r="G173" s="29">
        <v>480</v>
      </c>
      <c r="H173" s="48">
        <f>IFERROR(Линия3[[#This Row],[Количество]]/Линия3[[#This Row],[Шт. в поддоне]], "")</f>
        <v>62.5</v>
      </c>
    </row>
    <row r="174" spans="1:8" hidden="1" x14ac:dyDescent="0.25">
      <c r="A174" s="78">
        <f t="shared" si="10"/>
        <v>46072.945652173912</v>
      </c>
      <c r="B174" s="79">
        <f>Линия3[[#This Row],[Дата начала]]+Линия3[[#This Row],[Длительность]]</f>
        <v>46073.084541062803</v>
      </c>
      <c r="C174" s="28">
        <f t="shared" si="9"/>
        <v>0.1388888888888889</v>
      </c>
      <c r="D174" s="29"/>
      <c r="E174" s="29" t="s">
        <v>158</v>
      </c>
      <c r="F174" s="49"/>
      <c r="G174" s="29"/>
      <c r="H174" s="48" t="str">
        <f>IFERROR(Линия3[[#This Row],[Количество]]/Линия3[[#This Row],[Шт. в поддоне]], "")</f>
        <v/>
      </c>
    </row>
    <row r="175" spans="1:8" hidden="1" x14ac:dyDescent="0.25">
      <c r="A175" s="78">
        <v>46073.416666666664</v>
      </c>
      <c r="B175" s="79">
        <f>Линия3[[#This Row],[Дата начала]]+Линия3[[#This Row],[Длительность]]</f>
        <v>46073.869565217392</v>
      </c>
      <c r="C175" s="28">
        <f t="shared" si="9"/>
        <v>0.45289855072463769</v>
      </c>
      <c r="D175" s="29">
        <v>4600</v>
      </c>
      <c r="E175" s="29" t="s">
        <v>195</v>
      </c>
      <c r="F175" s="49">
        <v>50000</v>
      </c>
      <c r="G175" s="29">
        <v>504</v>
      </c>
      <c r="H175" s="48">
        <f>IFERROR(Линия3[[#This Row],[Количество]]/Линия3[[#This Row],[Шт. в поддоне]], "")</f>
        <v>99.206349206349202</v>
      </c>
    </row>
    <row r="176" spans="1:8" hidden="1" x14ac:dyDescent="0.25">
      <c r="A176" s="78">
        <f t="shared" si="10"/>
        <v>46073.869565217392</v>
      </c>
      <c r="B176" s="79">
        <f>Линия3[[#This Row],[Дата начала]]+Линия3[[#This Row],[Длительность]]</f>
        <v>46074.008454106282</v>
      </c>
      <c r="C176" s="28">
        <f t="shared" si="9"/>
        <v>0.1388888888888889</v>
      </c>
      <c r="D176" s="29"/>
      <c r="E176" s="29" t="s">
        <v>158</v>
      </c>
      <c r="F176" s="49"/>
      <c r="G176" s="29"/>
      <c r="H176" s="48" t="str">
        <f>IFERROR(Линия3[[#This Row],[Количество]]/Линия3[[#This Row],[Шт. в поддоне]], "")</f>
        <v/>
      </c>
    </row>
    <row r="177" spans="1:8" hidden="1" x14ac:dyDescent="0.25">
      <c r="A177" s="78">
        <f t="shared" si="10"/>
        <v>46074.008454106282</v>
      </c>
      <c r="B177" s="79">
        <f>Линия3[[#This Row],[Дата начала]]+Линия3[[#This Row],[Длительность]]</f>
        <v>46074.46135265701</v>
      </c>
      <c r="C177" s="28">
        <f t="shared" si="9"/>
        <v>0.45289855072463769</v>
      </c>
      <c r="D177" s="29">
        <v>4600</v>
      </c>
      <c r="E177" s="29" t="s">
        <v>188</v>
      </c>
      <c r="F177" s="49">
        <v>50000</v>
      </c>
      <c r="G177" s="29">
        <v>504</v>
      </c>
      <c r="H177" s="48">
        <f>IFERROR(Линия3[[#This Row],[Количество]]/Линия3[[#This Row],[Шт. в поддоне]], "")</f>
        <v>99.206349206349202</v>
      </c>
    </row>
    <row r="178" spans="1:8" x14ac:dyDescent="0.25">
      <c r="A178" s="78">
        <v>46078.333333333336</v>
      </c>
      <c r="B178" s="79">
        <f>Линия3[[#This Row],[Дата начала]]+Линия3[[#This Row],[Длительность]]</f>
        <v>46078.4375</v>
      </c>
      <c r="C178" s="28">
        <f t="shared" si="9"/>
        <v>0.10416666666666667</v>
      </c>
      <c r="D178" s="29"/>
      <c r="E178" s="29" t="s">
        <v>153</v>
      </c>
      <c r="F178" s="29"/>
      <c r="G178" s="29"/>
      <c r="H178" s="48" t="str">
        <f>IFERROR(Линия3[[#This Row],[Количество]]/Линия3[[#This Row],[Шт. в поддоне]], "")</f>
        <v/>
      </c>
    </row>
    <row r="179" spans="1:8" x14ac:dyDescent="0.25">
      <c r="A179" s="78">
        <f>B178</f>
        <v>46078.4375</v>
      </c>
      <c r="B179" s="79">
        <f>Линия3[[#This Row],[Дата начала]]+Линия3[[#This Row],[Длительность]]</f>
        <v>46078.709239130432</v>
      </c>
      <c r="C179" s="28">
        <f t="shared" si="9"/>
        <v>0.27173913043478259</v>
      </c>
      <c r="D179" s="29">
        <v>4600</v>
      </c>
      <c r="E179" s="29" t="s">
        <v>219</v>
      </c>
      <c r="F179" s="49">
        <v>30000</v>
      </c>
      <c r="G179" s="29">
        <v>480</v>
      </c>
      <c r="H179" s="48">
        <f>IFERROR(Линия3[[#This Row],[Количество]]/Линия3[[#This Row],[Шт. в поддоне]], "")</f>
        <v>62.5</v>
      </c>
    </row>
    <row r="180" spans="1:8" x14ac:dyDescent="0.25">
      <c r="A180" s="78">
        <f t="shared" ref="A180:A188" si="11">B179</f>
        <v>46078.709239130432</v>
      </c>
      <c r="B180" s="79">
        <f>Линия3[[#This Row],[Дата начала]]+Линия3[[#This Row],[Длительность]]</f>
        <v>46078.813405797096</v>
      </c>
      <c r="C180" s="28">
        <f t="shared" si="9"/>
        <v>0.10416666666666667</v>
      </c>
      <c r="D180" s="29"/>
      <c r="E180" s="29" t="s">
        <v>153</v>
      </c>
      <c r="F180" s="29"/>
      <c r="G180" s="29"/>
      <c r="H180" s="48" t="str">
        <f>IFERROR(Линия3[[#This Row],[Количество]]/Линия3[[#This Row],[Шт. в поддоне]], "")</f>
        <v/>
      </c>
    </row>
    <row r="181" spans="1:8" x14ac:dyDescent="0.25">
      <c r="A181" s="78">
        <f t="shared" si="11"/>
        <v>46078.813405797096</v>
      </c>
      <c r="B181" s="79">
        <f>Линия3[[#This Row],[Дата начала]]+Линия3[[#This Row],[Длительность]]</f>
        <v>46079.151243634937</v>
      </c>
      <c r="C181" s="28">
        <f t="shared" si="9"/>
        <v>0.33783783783783788</v>
      </c>
      <c r="D181" s="29">
        <v>3700</v>
      </c>
      <c r="E181" s="29" t="s">
        <v>211</v>
      </c>
      <c r="F181" s="49">
        <v>30000</v>
      </c>
      <c r="G181" s="29">
        <v>480</v>
      </c>
      <c r="H181" s="48">
        <f>IFERROR(Линия3[[#This Row],[Количество]]/Линия3[[#This Row],[Шт. в поддоне]], "")</f>
        <v>62.5</v>
      </c>
    </row>
    <row r="182" spans="1:8" x14ac:dyDescent="0.25">
      <c r="A182" s="78">
        <f t="shared" si="11"/>
        <v>46079.151243634937</v>
      </c>
      <c r="B182" s="79">
        <f>Линия3[[#This Row],[Дата начала]]+Линия3[[#This Row],[Длительность]]</f>
        <v>46079.290132523827</v>
      </c>
      <c r="C182" s="28">
        <f t="shared" si="9"/>
        <v>0.1388888888888889</v>
      </c>
      <c r="D182" s="29"/>
      <c r="E182" s="29" t="s">
        <v>158</v>
      </c>
      <c r="F182" s="29"/>
      <c r="G182" s="29"/>
      <c r="H182" s="48" t="str">
        <f>IFERROR(Линия3[[#This Row],[Количество]]/Линия3[[#This Row],[Шт. в поддоне]], "")</f>
        <v/>
      </c>
    </row>
    <row r="183" spans="1:8" x14ac:dyDescent="0.25">
      <c r="A183" s="81"/>
      <c r="B183" s="82"/>
      <c r="C183" s="36"/>
      <c r="D183" s="38"/>
      <c r="E183" s="38" t="s">
        <v>220</v>
      </c>
      <c r="F183" s="38"/>
      <c r="G183" s="38"/>
      <c r="H183" s="83" t="str">
        <f>IFERROR(Линия3[[#This Row],[Количество]]/Линия3[[#This Row],[Шт. в поддоне]], "")</f>
        <v/>
      </c>
    </row>
    <row r="184" spans="1:8" x14ac:dyDescent="0.25">
      <c r="A184" s="78">
        <f>'Линия 4'!B120</f>
        <v>46080.364214865083</v>
      </c>
      <c r="B184" s="79">
        <f>Линия3[[#This Row],[Дата начала]]+Линия3[[#This Row],[Длительность]]</f>
        <v>46080.391992642864</v>
      </c>
      <c r="C184" s="28">
        <f t="shared" ref="C184:C188" si="12">IF(E184="Вытеснение",TIME(0,30,0),
IF(E184="Передача смены",TIME(0,20,0),
IF(E184="Запуск",TIME(0,30,0),
IF(E184="Смена ассортимента",TIME(0,15,0),
IF(E184="Переналадка формата",TIME(5,0,0),
IF(E184="CIP 1",TIME(0,40,0),
IF(E184="CIP 2",TIME(2,30,0),
IF(E184="CIP 3",TIME(3,20,0),
IF(AND(ISNUMBER(F184),ISNUMBER(D184),D184&gt;0),F184/D184/24,"Ошибка")))))))))</f>
        <v>2.7777777777777776E-2</v>
      </c>
      <c r="D184" s="29"/>
      <c r="E184" s="29" t="s">
        <v>197</v>
      </c>
      <c r="F184" s="29"/>
      <c r="G184" s="29"/>
      <c r="H184" s="48" t="str">
        <f>IFERROR(Линия3[[#This Row],[Количество]]/Линия3[[#This Row],[Шт. в поддоне]], "")</f>
        <v/>
      </c>
    </row>
    <row r="185" spans="1:8" x14ac:dyDescent="0.25">
      <c r="A185" s="78">
        <f t="shared" si="11"/>
        <v>46080.391992642864</v>
      </c>
      <c r="B185" s="79">
        <f>Линия3[[#This Row],[Дата начала]]+Линия3[[#This Row],[Длительность]]</f>
        <v>46080.955055705926</v>
      </c>
      <c r="C185" s="28">
        <f t="shared" si="12"/>
        <v>0.56306306306306309</v>
      </c>
      <c r="D185" s="29">
        <v>3700</v>
      </c>
      <c r="E185" s="29" t="s">
        <v>201</v>
      </c>
      <c r="F185" s="49">
        <v>50000</v>
      </c>
      <c r="G185" s="29">
        <v>480</v>
      </c>
      <c r="H185" s="48">
        <f>IFERROR(Линия3[[#This Row],[Количество]]/Линия3[[#This Row],[Шт. в поддоне]], "")</f>
        <v>104.16666666666667</v>
      </c>
    </row>
    <row r="186" spans="1:8" x14ac:dyDescent="0.25">
      <c r="A186" s="78">
        <f t="shared" si="11"/>
        <v>46080.955055705926</v>
      </c>
      <c r="B186" s="79">
        <f>Линия3[[#This Row],[Дата начала]]+Линия3[[#This Row],[Длительность]]</f>
        <v>46081.059222372591</v>
      </c>
      <c r="C186" s="33">
        <f t="shared" si="12"/>
        <v>0.10416666666666667</v>
      </c>
      <c r="D186" s="34"/>
      <c r="E186" s="34" t="s">
        <v>153</v>
      </c>
      <c r="F186" s="34"/>
      <c r="G186" s="34"/>
      <c r="H186" s="46" t="str">
        <f>IFERROR(Линия3[[#This Row],[Количество]]/Линия3[[#This Row],[Шт. в поддоне]], "")</f>
        <v/>
      </c>
    </row>
    <row r="187" spans="1:8" x14ac:dyDescent="0.25">
      <c r="A187" s="78">
        <f t="shared" si="11"/>
        <v>46081.059222372591</v>
      </c>
      <c r="B187" s="79">
        <f>Линия3[[#This Row],[Дата начала]]+Линия3[[#This Row],[Длительность]]</f>
        <v>46081.622285435653</v>
      </c>
      <c r="C187" s="28">
        <f t="shared" si="12"/>
        <v>0.56306306306306309</v>
      </c>
      <c r="D187" s="29">
        <v>3700</v>
      </c>
      <c r="E187" s="29" t="s">
        <v>201</v>
      </c>
      <c r="F187" s="29">
        <v>50000</v>
      </c>
      <c r="G187" s="29">
        <v>480</v>
      </c>
      <c r="H187" s="48">
        <f>IFERROR(Линия3[[#This Row],[Количество]]/Линия3[[#This Row],[Шт. в поддоне]], "")</f>
        <v>104.16666666666667</v>
      </c>
    </row>
    <row r="188" spans="1:8" x14ac:dyDescent="0.25">
      <c r="A188" s="78">
        <f t="shared" si="11"/>
        <v>46081.622285435653</v>
      </c>
      <c r="B188" s="79">
        <f>Линия3[[#This Row],[Дата начала]]+Линия3[[#This Row],[Длительность]]</f>
        <v>46081.761174324543</v>
      </c>
      <c r="C188" s="28">
        <f t="shared" si="12"/>
        <v>0.1388888888888889</v>
      </c>
      <c r="D188" s="29"/>
      <c r="E188" s="34" t="s">
        <v>158</v>
      </c>
      <c r="F188" s="29"/>
      <c r="G188" s="29"/>
      <c r="H188" s="48" t="str">
        <f>IFERROR(Линия3[[#This Row],[Количество]]/Линия3[[#This Row],[Шт. в поддоне]], "")</f>
        <v/>
      </c>
    </row>
    <row r="189" spans="1:8" x14ac:dyDescent="0.25">
      <c r="A189" s="81"/>
      <c r="B189" s="82"/>
      <c r="C189" s="36"/>
      <c r="D189" s="38"/>
      <c r="E189" s="38" t="s">
        <v>159</v>
      </c>
      <c r="F189" s="38"/>
      <c r="G189" s="38"/>
      <c r="H189" s="83" t="str">
        <f>IFERROR(Линия3[[#This Row],[Количество]]/Линия3[[#This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7924-9D8C-4110-B7F5-1B5F5636D4C9}">
  <sheetPr codeName="Лист4"/>
  <dimension ref="A1:I121"/>
  <sheetViews>
    <sheetView zoomScale="70" zoomScaleNormal="70" workbookViewId="0">
      <selection activeCell="E119" sqref="E119"/>
    </sheetView>
  </sheetViews>
  <sheetFormatPr defaultColWidth="8.69921875" defaultRowHeight="13.2" x14ac:dyDescent="0.25"/>
  <cols>
    <col min="1" max="2" width="16.59765625" style="85" customWidth="1"/>
    <col min="3" max="3" width="14.69921875" style="85" bestFit="1" customWidth="1"/>
    <col min="4" max="4" width="10.09765625" style="99" bestFit="1" customWidth="1"/>
    <col min="5" max="5" width="53.19921875" style="85" customWidth="1"/>
    <col min="6" max="6" width="12.19921875" style="85" bestFit="1" customWidth="1"/>
    <col min="7" max="7" width="14.69921875" style="85" bestFit="1" customWidth="1"/>
    <col min="8" max="8" width="17.59765625" style="85" bestFit="1" customWidth="1"/>
    <col min="9" max="9" width="35.5" style="85" bestFit="1" customWidth="1"/>
    <col min="10" max="16384" width="8.69921875" style="85"/>
  </cols>
  <sheetData>
    <row r="1" spans="1:9" ht="20.399999999999999" x14ac:dyDescent="0.35">
      <c r="A1" s="162" t="s">
        <v>221</v>
      </c>
      <c r="B1" s="163"/>
      <c r="C1" s="163"/>
      <c r="D1" s="163"/>
      <c r="E1" s="163"/>
      <c r="F1" s="163"/>
      <c r="G1" s="163"/>
      <c r="H1" s="164"/>
    </row>
    <row r="2" spans="1:9" ht="13.8" x14ac:dyDescent="0.25">
      <c r="A2" s="66" t="s">
        <v>145</v>
      </c>
      <c r="B2" s="66" t="s">
        <v>146</v>
      </c>
      <c r="C2" s="86" t="s">
        <v>147</v>
      </c>
      <c r="D2" s="68" t="s">
        <v>148</v>
      </c>
      <c r="E2" s="68" t="s">
        <v>149</v>
      </c>
      <c r="F2" s="68" t="s">
        <v>150</v>
      </c>
      <c r="G2" s="68" t="s">
        <v>151</v>
      </c>
      <c r="H2" s="87" t="s">
        <v>152</v>
      </c>
      <c r="I2"/>
    </row>
    <row r="3" spans="1:9" ht="13.8" hidden="1" x14ac:dyDescent="0.25">
      <c r="A3" s="45"/>
      <c r="B3" s="45"/>
      <c r="C3" s="33">
        <f t="shared" ref="C3:C28" si="0">IF(E3="Вытеснение",TIME(0,30,0),
IF(E3="Передача смены",TIME(0,20,0),
IF(E3="Запуск",TIME(0,30,0),
IF(E3="Смена ассортимента",TIME(0,15,0),
IF(E3="Переналадка формата",TIME(5,0,0),
IF(E3="CIP 1",TIME(2,30,0),
IF(E3="CIP 2",TIME(2,30,0),
IF(E3="CIP 3",TIME(3,20,0),
IF(AND(ISNUMBER(F3),ISNUMBER(D3),D3&gt;0),F3/D3/24,"Ошибка")))))))))</f>
        <v>0.2196969696969697</v>
      </c>
      <c r="D3" s="88">
        <v>5500</v>
      </c>
      <c r="E3" s="34" t="s">
        <v>222</v>
      </c>
      <c r="F3" s="50">
        <v>29000</v>
      </c>
      <c r="G3" s="34">
        <v>1470</v>
      </c>
      <c r="H3" s="88">
        <f>IFERROR(Линия4[[#This Row],[Количество]]/Линия4[[#This Row],[Шт. в поддоне]], "")</f>
        <v>19.727891156462587</v>
      </c>
      <c r="I3"/>
    </row>
    <row r="4" spans="1:9" ht="13.8" hidden="1" x14ac:dyDescent="0.25">
      <c r="A4" s="47"/>
      <c r="B4" s="47"/>
      <c r="C4" s="28">
        <f t="shared" si="0"/>
        <v>0.10416666666666667</v>
      </c>
      <c r="D4" s="31"/>
      <c r="E4" s="29" t="s">
        <v>153</v>
      </c>
      <c r="F4" s="49"/>
      <c r="G4" s="34"/>
      <c r="H4" s="88" t="str">
        <f>IFERROR(Линия4[[#This Row],[Количество]]/Линия4[[#This Row],[Шт. в поддоне]], "")</f>
        <v/>
      </c>
      <c r="I4"/>
    </row>
    <row r="5" spans="1:9" ht="13.8" hidden="1" x14ac:dyDescent="0.25">
      <c r="A5" s="45"/>
      <c r="B5" s="45"/>
      <c r="C5" s="33">
        <f t="shared" si="0"/>
        <v>2.0833333333333332E-2</v>
      </c>
      <c r="D5" s="88"/>
      <c r="E5" s="34" t="s">
        <v>163</v>
      </c>
      <c r="F5" s="50"/>
      <c r="G5" s="34"/>
      <c r="H5" s="88" t="str">
        <f>IFERROR(Линия4[[#This Row],[Количество]]/Линия4[[#This Row],[Шт. в поддоне]], "")</f>
        <v/>
      </c>
      <c r="I5"/>
    </row>
    <row r="6" spans="1:9" ht="13.8" hidden="1" x14ac:dyDescent="0.25">
      <c r="A6" s="47"/>
      <c r="B6" s="47"/>
      <c r="C6" s="28">
        <f t="shared" si="0"/>
        <v>7.575757575757576E-2</v>
      </c>
      <c r="D6" s="31">
        <v>5500</v>
      </c>
      <c r="E6" s="29" t="s">
        <v>223</v>
      </c>
      <c r="F6" s="49">
        <v>10000</v>
      </c>
      <c r="G6" s="34">
        <v>1470</v>
      </c>
      <c r="H6" s="88">
        <f>IFERROR(Линия4[[#This Row],[Количество]]/Линия4[[#This Row],[Шт. в поддоне]], "")</f>
        <v>6.8027210884353737</v>
      </c>
      <c r="I6"/>
    </row>
    <row r="7" spans="1:9" ht="13.8" hidden="1" x14ac:dyDescent="0.25">
      <c r="A7" s="45"/>
      <c r="B7" s="45"/>
      <c r="C7" s="33">
        <f t="shared" si="0"/>
        <v>1.0416666666666666E-2</v>
      </c>
      <c r="D7" s="88"/>
      <c r="E7" s="34" t="s">
        <v>180</v>
      </c>
      <c r="F7" s="50"/>
      <c r="G7" s="34"/>
      <c r="H7" s="88" t="str">
        <f>IFERROR(Линия4[[#This Row],[Количество]]/Линия4[[#This Row],[Шт. в поддоне]], "")</f>
        <v/>
      </c>
      <c r="I7"/>
    </row>
    <row r="8" spans="1:9" ht="13.8" hidden="1" x14ac:dyDescent="0.25">
      <c r="A8" s="47"/>
      <c r="B8" s="47"/>
      <c r="C8" s="28">
        <f t="shared" si="0"/>
        <v>2.0833333333333332E-2</v>
      </c>
      <c r="D8" s="31"/>
      <c r="E8" s="29" t="s">
        <v>163</v>
      </c>
      <c r="F8" s="49"/>
      <c r="G8" s="34"/>
      <c r="H8" s="88" t="str">
        <f>IFERROR(Линия4[[#This Row],[Количество]]/Линия4[[#This Row],[Шт. в поддоне]], "")</f>
        <v/>
      </c>
      <c r="I8"/>
    </row>
    <row r="9" spans="1:9" ht="13.8" hidden="1" x14ac:dyDescent="0.25">
      <c r="A9" s="45"/>
      <c r="B9" s="45"/>
      <c r="C9" s="33">
        <f t="shared" si="0"/>
        <v>0.18939393939393942</v>
      </c>
      <c r="D9" s="88">
        <v>5500</v>
      </c>
      <c r="E9" s="34" t="s">
        <v>224</v>
      </c>
      <c r="F9" s="50">
        <v>25000</v>
      </c>
      <c r="G9" s="34">
        <v>1470</v>
      </c>
      <c r="H9" s="88">
        <f>IFERROR(Линия4[[#This Row],[Количество]]/Линия4[[#This Row],[Шт. в поддоне]], "")</f>
        <v>17.006802721088434</v>
      </c>
      <c r="I9"/>
    </row>
    <row r="10" spans="1:9" ht="13.8" hidden="1" x14ac:dyDescent="0.25">
      <c r="A10" s="47"/>
      <c r="B10" s="47"/>
      <c r="C10" s="28">
        <f t="shared" si="0"/>
        <v>1.0416666666666666E-2</v>
      </c>
      <c r="D10" s="31"/>
      <c r="E10" s="29" t="s">
        <v>180</v>
      </c>
      <c r="F10" s="49"/>
      <c r="G10" s="34"/>
      <c r="H10" s="88" t="str">
        <f>IFERROR(Линия4[[#This Row],[Количество]]/Линия4[[#This Row],[Шт. в поддоне]], "")</f>
        <v/>
      </c>
      <c r="I10"/>
    </row>
    <row r="11" spans="1:9" ht="13.8" hidden="1" x14ac:dyDescent="0.25">
      <c r="A11" s="45"/>
      <c r="B11" s="45"/>
      <c r="C11" s="33">
        <f t="shared" si="0"/>
        <v>2.0833333333333332E-2</v>
      </c>
      <c r="D11" s="88"/>
      <c r="E11" s="34" t="s">
        <v>163</v>
      </c>
      <c r="F11" s="50"/>
      <c r="G11" s="34"/>
      <c r="H11" s="88" t="str">
        <f>IFERROR(Линия4[[#This Row],[Количество]]/Линия4[[#This Row],[Шт. в поддоне]], "")</f>
        <v/>
      </c>
      <c r="I11"/>
    </row>
    <row r="12" spans="1:9" ht="13.8" hidden="1" x14ac:dyDescent="0.25">
      <c r="A12" s="47"/>
      <c r="B12" s="47"/>
      <c r="C12" s="28">
        <f t="shared" si="0"/>
        <v>0.18939393939393942</v>
      </c>
      <c r="D12" s="31">
        <v>5500</v>
      </c>
      <c r="E12" s="29" t="s">
        <v>225</v>
      </c>
      <c r="F12" s="49">
        <v>25000</v>
      </c>
      <c r="G12" s="34">
        <v>1470</v>
      </c>
      <c r="H12" s="88">
        <f>IFERROR(Линия4[[#This Row],[Количество]]/Линия4[[#This Row],[Шт. в поддоне]], "")</f>
        <v>17.006802721088434</v>
      </c>
      <c r="I12"/>
    </row>
    <row r="13" spans="1:9" ht="13.8" hidden="1" x14ac:dyDescent="0.25">
      <c r="A13" s="45"/>
      <c r="B13" s="45"/>
      <c r="C13" s="33">
        <f t="shared" si="0"/>
        <v>2.0833333333333332E-2</v>
      </c>
      <c r="D13" s="88"/>
      <c r="E13" s="34" t="s">
        <v>162</v>
      </c>
      <c r="F13" s="50"/>
      <c r="G13" s="34"/>
      <c r="H13" s="88" t="str">
        <f>IFERROR(Линия4[[#This Row],[Количество]]/Линия4[[#This Row],[Шт. в поддоне]], "")</f>
        <v/>
      </c>
      <c r="I13"/>
    </row>
    <row r="14" spans="1:9" ht="13.8" hidden="1" x14ac:dyDescent="0.25">
      <c r="A14" s="47"/>
      <c r="B14" s="47"/>
      <c r="C14" s="28">
        <f t="shared" si="0"/>
        <v>2.0833333333333332E-2</v>
      </c>
      <c r="D14" s="31"/>
      <c r="E14" s="29" t="s">
        <v>163</v>
      </c>
      <c r="F14" s="49"/>
      <c r="G14" s="34"/>
      <c r="H14" s="88" t="str">
        <f>IFERROR(Линия4[[#This Row],[Количество]]/Линия4[[#This Row],[Шт. в поддоне]], "")</f>
        <v/>
      </c>
      <c r="I14"/>
    </row>
    <row r="15" spans="1:9" ht="13.8" hidden="1" x14ac:dyDescent="0.25">
      <c r="A15" s="45"/>
      <c r="B15" s="45"/>
      <c r="C15" s="33">
        <f t="shared" si="0"/>
        <v>7.575757575757576E-2</v>
      </c>
      <c r="D15" s="88">
        <v>5500</v>
      </c>
      <c r="E15" s="34" t="s">
        <v>226</v>
      </c>
      <c r="F15" s="50">
        <v>10000</v>
      </c>
      <c r="G15" s="34">
        <v>1470</v>
      </c>
      <c r="H15" s="88">
        <f>IFERROR(Линия4[[#This Row],[Количество]]/Линия4[[#This Row],[Шт. в поддоне]], "")</f>
        <v>6.8027210884353737</v>
      </c>
      <c r="I15"/>
    </row>
    <row r="16" spans="1:9" ht="13.8" hidden="1" x14ac:dyDescent="0.25">
      <c r="A16" s="47"/>
      <c r="B16" s="47"/>
      <c r="C16" s="28">
        <f t="shared" si="0"/>
        <v>1.0416666666666666E-2</v>
      </c>
      <c r="D16" s="31"/>
      <c r="E16" s="29" t="s">
        <v>180</v>
      </c>
      <c r="F16" s="49"/>
      <c r="G16" s="34"/>
      <c r="H16" s="88" t="str">
        <f>IFERROR(Линия4[[#This Row],[Количество]]/Линия4[[#This Row],[Шт. в поддоне]], "")</f>
        <v/>
      </c>
      <c r="I16"/>
    </row>
    <row r="17" spans="1:9" ht="13.8" hidden="1" x14ac:dyDescent="0.25">
      <c r="A17" s="45"/>
      <c r="B17" s="45"/>
      <c r="C17" s="33">
        <f t="shared" si="0"/>
        <v>2.0833333333333332E-2</v>
      </c>
      <c r="D17" s="88"/>
      <c r="E17" s="34" t="s">
        <v>163</v>
      </c>
      <c r="F17" s="50"/>
      <c r="G17" s="34"/>
      <c r="H17" s="88" t="str">
        <f>IFERROR(Линия4[[#This Row],[Количество]]/Линия4[[#This Row],[Шт. в поддоне]], "")</f>
        <v/>
      </c>
      <c r="I17"/>
    </row>
    <row r="18" spans="1:9" ht="13.8" hidden="1" x14ac:dyDescent="0.25">
      <c r="A18" s="47"/>
      <c r="B18" s="47"/>
      <c r="C18" s="28">
        <f t="shared" si="0"/>
        <v>6.8181818181818191E-2</v>
      </c>
      <c r="D18" s="31">
        <v>5500</v>
      </c>
      <c r="E18" s="29" t="s">
        <v>227</v>
      </c>
      <c r="F18" s="49">
        <v>9000</v>
      </c>
      <c r="G18" s="34">
        <v>1470</v>
      </c>
      <c r="H18" s="88">
        <f>IFERROR(Линия4[[#This Row],[Количество]]/Линия4[[#This Row],[Шт. в поддоне]], "")</f>
        <v>6.1224489795918364</v>
      </c>
      <c r="I18"/>
    </row>
    <row r="19" spans="1:9" ht="13.8" hidden="1" x14ac:dyDescent="0.25">
      <c r="A19" s="47"/>
      <c r="B19" s="47"/>
      <c r="C19" s="28">
        <f>IF(E19="Вытеснение",TIME(0,30,0),
IF(E19="Передача смены",TIME(0,20,0),
IF(E19="Запуск",TIME(0,30,0),
IF(E19="Смена ассортимента",TIME(0,15,0),
IF(E19="Переналадка формата",TIME(5,0,0),
IF(E19="CIP 1",TIME(2,30,0),
IF(E19="CIP 2",TIME(2,30,0),
IF(E19="CIP 3",TIME(3,20,0),
IF(AND(ISNUMBER(F19),ISNUMBER(D19),D19&gt;0),F19/D19/24,"Ошибка")))))))))</f>
        <v>1.0416666666666666E-2</v>
      </c>
      <c r="D19" s="88"/>
      <c r="E19" s="34" t="s">
        <v>180</v>
      </c>
      <c r="F19" s="50"/>
      <c r="G19" s="34"/>
      <c r="H19" s="88" t="str">
        <f>IFERROR(Линия4[[#This Row],[Количество]]/Линия4[[#This Row],[Шт. в поддоне]], "")</f>
        <v/>
      </c>
      <c r="I19"/>
    </row>
    <row r="20" spans="1:9" ht="13.8" hidden="1" x14ac:dyDescent="0.25">
      <c r="A20" s="47"/>
      <c r="B20" s="47"/>
      <c r="C20" s="28">
        <f t="shared" si="0"/>
        <v>2.0833333333333332E-2</v>
      </c>
      <c r="D20" s="31"/>
      <c r="E20" s="29" t="s">
        <v>163</v>
      </c>
      <c r="F20" s="49"/>
      <c r="G20" s="34"/>
      <c r="H20" s="88" t="str">
        <f>IFERROR(Линия4[[#This Row],[Количество]]/Линия4[[#This Row],[Шт. в поддоне]], "")</f>
        <v/>
      </c>
      <c r="I20"/>
    </row>
    <row r="21" spans="1:9" ht="13.8" hidden="1" x14ac:dyDescent="0.25">
      <c r="A21" s="47"/>
      <c r="B21" s="47"/>
      <c r="C21" s="28">
        <f t="shared" si="0"/>
        <v>6.8181818181818191E-2</v>
      </c>
      <c r="D21" s="88">
        <v>5500</v>
      </c>
      <c r="E21" s="34" t="s">
        <v>228</v>
      </c>
      <c r="F21" s="50">
        <v>9000</v>
      </c>
      <c r="G21" s="34">
        <v>1470</v>
      </c>
      <c r="H21" s="88">
        <f>IFERROR(Линия4[[#This Row],[Количество]]/Линия4[[#This Row],[Шт. в поддоне]], "")</f>
        <v>6.1224489795918364</v>
      </c>
      <c r="I21"/>
    </row>
    <row r="22" spans="1:9" ht="13.8" hidden="1" x14ac:dyDescent="0.25">
      <c r="A22" s="47"/>
      <c r="B22" s="47"/>
      <c r="C22" s="28">
        <f t="shared" si="0"/>
        <v>2.0833333333333332E-2</v>
      </c>
      <c r="D22" s="31"/>
      <c r="E22" s="29" t="s">
        <v>162</v>
      </c>
      <c r="F22" s="49"/>
      <c r="G22" s="34"/>
      <c r="H22" s="88" t="str">
        <f>IFERROR(Линия4[[#This Row],[Количество]]/Линия4[[#This Row],[Шт. в поддоне]], "")</f>
        <v/>
      </c>
      <c r="I22"/>
    </row>
    <row r="23" spans="1:9" ht="13.8" hidden="1" x14ac:dyDescent="0.25">
      <c r="A23" s="47"/>
      <c r="B23" s="47"/>
      <c r="C23" s="28">
        <f t="shared" si="0"/>
        <v>2.0833333333333332E-2</v>
      </c>
      <c r="D23" s="88"/>
      <c r="E23" s="34" t="s">
        <v>163</v>
      </c>
      <c r="F23" s="50"/>
      <c r="G23" s="34"/>
      <c r="H23" s="88" t="str">
        <f>IFERROR(Линия4[[#This Row],[Количество]]/Линия4[[#This Row],[Шт. в поддоне]], "")</f>
        <v/>
      </c>
      <c r="I23"/>
    </row>
    <row r="24" spans="1:9" ht="13.8" hidden="1" x14ac:dyDescent="0.25">
      <c r="A24" s="47"/>
      <c r="B24" s="47"/>
      <c r="C24" s="28">
        <f>IF(E24="Вытеснение",TIME(0,30,0),
IF(E24="Передача смены",TIME(0,20,0),
IF(E24="Запуск",TIME(0,30,0),
IF(E24="Смена ассортимента",TIME(0,15,0),
IF(E24="Переналадка формата",TIME(5,0,0),
IF(E24="CIP 1",TIME(2,30,0),
IF(E24="CIP 2",TIME(2,30,0),
IF(E24="CIP 3",TIME(3,20,0),
IF(AND(ISNUMBER(F24),ISNUMBER(D24),D24&gt;0),F24/D24/24,"Ошибка")))))))))</f>
        <v>0.13636363636363638</v>
      </c>
      <c r="D24" s="31">
        <v>5500</v>
      </c>
      <c r="E24" s="29" t="s">
        <v>229</v>
      </c>
      <c r="F24" s="49">
        <v>18000</v>
      </c>
      <c r="G24" s="34">
        <v>1470</v>
      </c>
      <c r="H24" s="88">
        <f>IFERROR(Линия4[[#This Row],[Количество]]/Линия4[[#This Row],[Шт. в поддоне]], "")</f>
        <v>12.244897959183673</v>
      </c>
      <c r="I24"/>
    </row>
    <row r="25" spans="1:9" ht="13.8" hidden="1" x14ac:dyDescent="0.25">
      <c r="A25" s="47"/>
      <c r="B25" s="47"/>
      <c r="C25" s="28">
        <f t="shared" si="0"/>
        <v>0.10416666666666667</v>
      </c>
      <c r="D25" s="88"/>
      <c r="E25" s="34" t="s">
        <v>153</v>
      </c>
      <c r="F25" s="50"/>
      <c r="G25" s="34"/>
      <c r="H25" s="88" t="str">
        <f>IFERROR(Линия4[[#This Row],[Количество]]/Линия4[[#This Row],[Шт. в поддоне]], "")</f>
        <v/>
      </c>
      <c r="I25"/>
    </row>
    <row r="26" spans="1:9" ht="13.8" hidden="1" x14ac:dyDescent="0.25">
      <c r="A26" s="47"/>
      <c r="B26" s="47"/>
      <c r="C26" s="28">
        <f t="shared" si="0"/>
        <v>2.0833333333333332E-2</v>
      </c>
      <c r="D26" s="31"/>
      <c r="E26" s="29" t="s">
        <v>163</v>
      </c>
      <c r="F26" s="49"/>
      <c r="G26" s="34"/>
      <c r="H26" s="88" t="str">
        <f>IFERROR(Линия4[[#This Row],[Количество]]/Линия4[[#This Row],[Шт. в поддоне]], "")</f>
        <v/>
      </c>
      <c r="I26"/>
    </row>
    <row r="27" spans="1:9" ht="13.8" hidden="1" x14ac:dyDescent="0.25">
      <c r="A27" s="47"/>
      <c r="B27" s="47"/>
      <c r="C27" s="28">
        <f t="shared" si="0"/>
        <v>0.13636363636363638</v>
      </c>
      <c r="D27" s="88">
        <v>5500</v>
      </c>
      <c r="E27" s="34" t="s">
        <v>230</v>
      </c>
      <c r="F27" s="50">
        <v>18000</v>
      </c>
      <c r="G27" s="34">
        <v>1470</v>
      </c>
      <c r="H27" s="88">
        <f>IFERROR(Линия4[[#This Row],[Количество]]/Линия4[[#This Row],[Шт. в поддоне]], "")</f>
        <v>12.244897959183673</v>
      </c>
      <c r="I27"/>
    </row>
    <row r="28" spans="1:9" ht="13.8" hidden="1" x14ac:dyDescent="0.25">
      <c r="A28" s="47"/>
      <c r="B28" s="47"/>
      <c r="C28" s="28">
        <f t="shared" si="0"/>
        <v>0.1388888888888889</v>
      </c>
      <c r="D28" s="31"/>
      <c r="E28" s="29" t="s">
        <v>158</v>
      </c>
      <c r="F28" s="49"/>
      <c r="G28" s="34"/>
      <c r="H28" s="88" t="str">
        <f>IFERROR(Линия4[[#This Row],[Количество]]/Линия4[[#This Row],[Шт. в поддоне]], "")</f>
        <v/>
      </c>
      <c r="I28"/>
    </row>
    <row r="29" spans="1:9" ht="13.8" hidden="1" x14ac:dyDescent="0.25">
      <c r="A29" s="52"/>
      <c r="B29" s="60"/>
      <c r="C29" s="36"/>
      <c r="D29" s="39"/>
      <c r="E29" s="54" t="s">
        <v>159</v>
      </c>
      <c r="F29" s="89"/>
      <c r="G29" s="38"/>
      <c r="H29" s="39" t="str">
        <f>IFERROR(Линия4[[#This Row],[Количество]]/Линия4[[#This Row],[Шт. в поддоне]], "")</f>
        <v/>
      </c>
      <c r="I29"/>
    </row>
    <row r="30" spans="1:9" ht="13.8" hidden="1" x14ac:dyDescent="0.25">
      <c r="A30" s="47"/>
      <c r="B30" s="90"/>
      <c r="C30" s="91"/>
      <c r="D30" s="92"/>
      <c r="E30" s="29"/>
      <c r="F30" s="49"/>
      <c r="G30" s="93"/>
      <c r="H30" s="92" t="str">
        <f>IFERROR(Линия4[[#This Row],[Количество]]/Линия4[[#This Row],[Шт. в поддоне]], "")</f>
        <v/>
      </c>
      <c r="I30"/>
    </row>
    <row r="31" spans="1:9" ht="13.8" hidden="1" x14ac:dyDescent="0.25">
      <c r="A31" s="52"/>
      <c r="B31" s="52"/>
      <c r="C31" s="53">
        <f>IF(E31="Вытеснение",TIME(0,30,0),
IF(E31="Передача смены",TIME(0,20,0),
IF(E31="Запуск",TIME(0,30,0),
IF(E31="Смена ассортимента",TIME(0,15,0),
IF(E31="Переналадка формата",TIME(5,0,0),
IF(E31="CIP 1",TIME(2,30,0),
IF(E31="CIP 2",TIME(2,30,0),
IF(E31="CIP 3",TIME(3,20,0),
IF(AND(ISNUMBER(F31),ISNUMBER(D31),D31&gt;0),F31/D31/24,"Ошибка")))))))))</f>
        <v>3.7202380952380953</v>
      </c>
      <c r="D31" s="94">
        <v>5600</v>
      </c>
      <c r="E31" s="54" t="s">
        <v>168</v>
      </c>
      <c r="F31" s="89">
        <v>500000</v>
      </c>
      <c r="G31" s="38">
        <v>1728</v>
      </c>
      <c r="H31" s="39">
        <f>IFERROR(Линия4[[#This Row],[Количество]]/Линия4[[#This Row],[Шт. в поддоне]], "")</f>
        <v>289.35185185185185</v>
      </c>
      <c r="I31"/>
    </row>
    <row r="32" spans="1:9" ht="13.8" hidden="1" x14ac:dyDescent="0.25">
      <c r="A32" s="47"/>
      <c r="B32" s="47"/>
      <c r="C32" s="28">
        <f>IF(E32="Вытеснение",TIME(0,30,0),
IF(E32="Передача смены",TIME(0,20,0),
IF(E32="Запуск",TIME(0,30,0),
IF(E32="Смена ассортимента",TIME(0,15,0),
IF(E32="Переналадка формата",TIME(5,0,0),
IF(E32="CIP 1",TIME(2,30,0),
IF(E32="CIP 2",TIME(2,30,0),
IF(E32="CIP 3",TIME(3,20,0),
IF(AND(ISNUMBER(F32),ISNUMBER(D32),D32&gt;0),F32/D32/24,"Ошибка")))))))))</f>
        <v>0.1388888888888889</v>
      </c>
      <c r="D32" s="88"/>
      <c r="E32" s="34" t="s">
        <v>158</v>
      </c>
      <c r="F32" s="50"/>
      <c r="G32" s="34"/>
      <c r="H32" s="88" t="str">
        <f>IFERROR(Линия4[[#This Row],[Количество]]/Линия4[[#This Row],[Шт. в поддоне]], "")</f>
        <v/>
      </c>
      <c r="I32"/>
    </row>
    <row r="33" spans="1:9" ht="13.8" hidden="1" x14ac:dyDescent="0.25">
      <c r="A33" s="47"/>
      <c r="B33" s="47"/>
      <c r="C33" s="28">
        <f>IF(E33="Вытеснение",TIME(0,30,0),
IF(E33="Передача смены",TIME(0,20,0),
IF(E33="Запуск",TIME(0,30,0),
IF(E33="Смена ассортимента",TIME(0,15,0),
IF(E33="Переналадка формата",TIME(5,0,0),
IF(E33="CIP 1",TIME(2,30,0),
IF(E33="CIP 2",TIME(2,30,0),
IF(E33="CIP 3",TIME(3,20,0),
IF(AND(ISNUMBER(F33),ISNUMBER(D33),D33&gt;0),F33/D33/24,"Ошибка")))))))))</f>
        <v>2.0833333333333332E-2</v>
      </c>
      <c r="D33" s="31"/>
      <c r="E33" s="29" t="s">
        <v>163</v>
      </c>
      <c r="F33" s="49"/>
      <c r="G33" s="34"/>
      <c r="H33" s="88" t="str">
        <f>IFERROR(Линия4[[#This Row],[Количество]]/Линия4[[#This Row],[Шт. в поддоне]], "")</f>
        <v/>
      </c>
      <c r="I33"/>
    </row>
    <row r="34" spans="1:9" ht="13.8" hidden="1" x14ac:dyDescent="0.25">
      <c r="A34" s="47"/>
      <c r="B34" s="47"/>
      <c r="C34" s="28">
        <f>IF(E34="Вытеснение",TIME(0,30,0),
IF(E34="Передача смены",TIME(0,20,0),
IF(E34="Запуск",TIME(0,30,0),
IF(E34="Смена ассортимента",TIME(0,15,0),
IF(E34="Переналадка формата",TIME(5,0,0),
IF(E34="CIP 1",TIME(2,30,0),
IF(E34="CIP 2",TIME(2,30,0),
IF(E34="CIP 3",TIME(3,20,0),
IF(AND(ISNUMBER(F34),ISNUMBER(D34),D34&gt;0),F34/D34/24,"Ошибка")))))))))</f>
        <v>3.7202380952380953</v>
      </c>
      <c r="D34" s="88">
        <v>5600</v>
      </c>
      <c r="E34" s="34" t="s">
        <v>168</v>
      </c>
      <c r="F34" s="50">
        <v>500000</v>
      </c>
      <c r="G34" s="34">
        <v>1728</v>
      </c>
      <c r="H34" s="88">
        <f>IFERROR(Линия4[[#This Row],[Количество]]/Линия4[[#This Row],[Шт. в поддоне]], "")</f>
        <v>289.35185185185185</v>
      </c>
      <c r="I34"/>
    </row>
    <row r="35" spans="1:9" ht="13.8" hidden="1" x14ac:dyDescent="0.25">
      <c r="A35" s="47"/>
      <c r="B35" s="47"/>
      <c r="C35" s="28">
        <f t="shared" ref="C35:C36" si="1">IF(E35="Вытеснение",TIME(0,30,0),
IF(E35="Передача смены",TIME(0,20,0),
IF(E35="Запуск",TIME(0,30,0),
IF(E35="Смена ассортимента",TIME(0,15,0),
IF(E35="Переналадка формата",TIME(5,0,0),
IF(E35="CIP 1",TIME(2,30,0),
IF(E35="CIP 2",TIME(2,30,0),
IF(E35="CIP 3",TIME(3,20,0),
IF(AND(ISNUMBER(F35),ISNUMBER(D35),D35&gt;0),F35/D35/24,"Ошибка")))))))))</f>
        <v>0.1388888888888889</v>
      </c>
      <c r="D35" s="31"/>
      <c r="E35" s="29" t="s">
        <v>158</v>
      </c>
      <c r="F35" s="49"/>
      <c r="G35" s="34"/>
      <c r="H35" s="88" t="str">
        <f>IFERROR(Линия4[[#This Row],[Количество]]/Линия4[[#This Row],[Шт. в поддоне]], "")</f>
        <v/>
      </c>
      <c r="I35"/>
    </row>
    <row r="36" spans="1:9" ht="13.8" hidden="1" x14ac:dyDescent="0.25">
      <c r="A36" s="47"/>
      <c r="B36" s="47"/>
      <c r="C36" s="28">
        <f t="shared" si="1"/>
        <v>3.7202380952380953</v>
      </c>
      <c r="D36" s="88">
        <v>5600</v>
      </c>
      <c r="E36" s="29" t="s">
        <v>168</v>
      </c>
      <c r="F36" s="49">
        <v>500000</v>
      </c>
      <c r="G36" s="34">
        <v>1728</v>
      </c>
      <c r="H36" s="88">
        <f>IFERROR(Линия4[[#This Row],[Количество]]/Линия4[[#This Row],[Шт. в поддоне]], "")</f>
        <v>289.35185185185185</v>
      </c>
      <c r="I36"/>
    </row>
    <row r="37" spans="1:9" ht="13.8" hidden="1" x14ac:dyDescent="0.25">
      <c r="A37" s="47"/>
      <c r="B37" s="47"/>
      <c r="C37" s="28" cm="1">
        <f t="array" ref="C37">_xlfn.IFS(
  OR(E37="CIP 1", E37="CIP1"), TIME(2,30,0),
  OR(E37="CIP 2", E37="CIP2"), TIME(2,30,0),
  OR(E37="CIP 3", E37="CIP3"), TIME(3,20,0),
  E37="Вытеснение", TIME(0,30,0),
  E37="Передача смены", TIME(0,20,0),
  E37="Запуск", TIME(0,30,0),
  E37="Смена ассортимента", TIME(0,15,0),
  E37="Переналадка формата", TIME(5,0,0),
  AND(ISNUMBER(F37), ISNUMBER(D37), D37&gt;0), F37/D37/24,
  TRUE, "Ошибка"
)</f>
        <v>0.1388888888888889</v>
      </c>
      <c r="D37" s="88"/>
      <c r="E37" s="34" t="s">
        <v>158</v>
      </c>
      <c r="F37" s="50"/>
      <c r="G37" s="34"/>
      <c r="H37" s="88" t="str">
        <f>IFERROR(Линия4[[#This Row],[Количество]]/Линия4[[#This Row],[Шт. в поддоне]], "")</f>
        <v/>
      </c>
      <c r="I37"/>
    </row>
    <row r="38" spans="1:9" ht="13.8" hidden="1" x14ac:dyDescent="0.25">
      <c r="A38" s="47"/>
      <c r="B38" s="47"/>
      <c r="C38" s="28" cm="1">
        <f t="array" ref="C38">_xlfn.IFS(
  OR(E38="CIP 1", E38="CIP1"), TIME(2,30,0),
  OR(E38="CIP 2", E38="CIP2"), TIME(2,30,0),
  OR(E38="CIP 3", E38="CIP3"), TIME(3,20,0),
  E38="Вытеснение", TIME(0,30,0),
  E38="Передача смены", TIME(0,20,0),
  E38="Запуск", TIME(0,30,0),
  E38="Смена ассортимента", TIME(0,15,0),
  E38="Переналадка формата", TIME(5,0,0),
  AND(ISNUMBER(F38), ISNUMBER(D38), D38&gt;0), F38/D38/24,
  TRUE, "Ошибка"
)</f>
        <v>2.4553571428571428</v>
      </c>
      <c r="D38" s="88">
        <v>5600</v>
      </c>
      <c r="E38" s="29" t="s">
        <v>168</v>
      </c>
      <c r="F38" s="49">
        <v>330000</v>
      </c>
      <c r="G38" s="34">
        <v>1728</v>
      </c>
      <c r="H38" s="88">
        <f>IFERROR(Линия4[[#This Row],[Количество]]/Линия4[[#This Row],[Шт. в поддоне]], "")</f>
        <v>190.97222222222223</v>
      </c>
      <c r="I38"/>
    </row>
    <row r="39" spans="1:9" ht="13.8" hidden="1" x14ac:dyDescent="0.25">
      <c r="A39" s="47"/>
      <c r="B39" s="47"/>
      <c r="C39" s="28" cm="1">
        <f t="array" ref="C39">_xlfn.IFS(
  OR(E39="CIP 1", E39="CIP1"), TIME(2,30,0),
  OR(E39="CIP 2", E39="CIP2"), TIME(2,30,0),
  OR(E39="CIP 3", E39="CIP3"), TIME(3,20,0),
  E39="Вытеснение", TIME(0,30,0),
  E39="Передача смены", TIME(0,20,0),
  E39="Запуск", TIME(0,30,0),
  E39="Смена ассортимента", TIME(0,15,0),
  E39="Переналадка формата", TIME(5,0,0),
  AND(ISNUMBER(F39), ISNUMBER(D39), D39&gt;0), F39/D39/24,
  TRUE, "Ошибка"
)</f>
        <v>0.1388888888888889</v>
      </c>
      <c r="D39" s="88"/>
      <c r="E39" s="34" t="s">
        <v>158</v>
      </c>
      <c r="F39" s="50"/>
      <c r="G39" s="34"/>
      <c r="H39" s="88" t="str">
        <f>IFERROR(Линия4[[#This Row],[Количество]]/Линия4[[#This Row],[Шт. в поддоне]], "")</f>
        <v/>
      </c>
      <c r="I39"/>
    </row>
    <row r="40" spans="1:9" ht="13.8" hidden="1" x14ac:dyDescent="0.25">
      <c r="A40" s="47"/>
      <c r="B40" s="47"/>
      <c r="C40" s="28" cm="1">
        <f t="array" ref="C40">_xlfn.IFS(
  OR(E40="CIP 1", E40="CIP1"), TIME(2,30,0),
  OR(E40="CIP 2", E40="CIP2"), TIME(2,30,0),
  OR(E40="CIP 3", E40="CIP3"), TIME(3,20,0),
  E40="Вытеснение", TIME(0,30,0),
  E40="Передача смены", TIME(0,20,0),
  E40="Запуск", TIME(0,30,0),
  E40="Смена ассортимента", TIME(0,15,0),
  E40="Переналадка формата", TIME(5,0,0),
  AND(ISNUMBER(F40), ISNUMBER(D40), D40&gt;0), F40/D40/24,
  TRUE, "Ошибка"
)</f>
        <v>6.5625000000000003E-2</v>
      </c>
      <c r="D40" s="88">
        <v>5600</v>
      </c>
      <c r="E40" s="29" t="s">
        <v>231</v>
      </c>
      <c r="F40" s="49">
        <v>8820</v>
      </c>
      <c r="G40" s="34">
        <v>1470</v>
      </c>
      <c r="H40" s="88">
        <f>IFERROR(Линия4[[#This Row],[Количество]]/Линия4[[#This Row],[Шт. в поддоне]], "")</f>
        <v>6</v>
      </c>
      <c r="I40"/>
    </row>
    <row r="41" spans="1:9" ht="13.8" hidden="1" x14ac:dyDescent="0.25">
      <c r="A41" s="47"/>
      <c r="B41" s="47"/>
      <c r="C41" s="28" cm="1">
        <f t="array" ref="C41">_xlfn.IFS(
  OR(E41="CIP 1", E41="CIP1"), TIME(2,30,0),
  OR(E41="CIP 2", E41="CIP2"), TIME(2,30,0),
  OR(E41="CIP 3", E41="CIP3"), TIME(3,20,0),
  E41="Вытеснение", TIME(0,30,0),
  E41="Передача смены", TIME(0,20,0),
  E41="Запуск", TIME(0,30,0),
  E41="Смена ассортимента", TIME(0,15,0),
  E41="Переналадка формата", TIME(5,0,0),
  AND(ISNUMBER(F41), ISNUMBER(D41), D41&gt;0), F41/D41/24,
  TRUE, "Ошибка"
)</f>
        <v>1.0416666666666666E-2</v>
      </c>
      <c r="D41" s="88"/>
      <c r="E41" s="29" t="s">
        <v>180</v>
      </c>
      <c r="F41" s="49"/>
      <c r="G41" s="93"/>
      <c r="H41" s="92" t="str">
        <f>IFERROR(Линия4[[#This Row],[Количество]]/Линия4[[#This Row],[Шт. в поддоне]], "")</f>
        <v/>
      </c>
      <c r="I41"/>
    </row>
    <row r="42" spans="1:9" ht="13.8" hidden="1" x14ac:dyDescent="0.25">
      <c r="A42" s="47"/>
      <c r="B42" s="47"/>
      <c r="C42" s="28" cm="1">
        <f t="array" ref="C42">_xlfn.IFS(
  OR(E42="CIP 1", E42="CIP1"), TIME(2,30,0),
  OR(E42="CIP 2", E42="CIP2"), TIME(2,30,0),
  OR(E42="CIP 3", E42="CIP3"), TIME(3,20,0),
  E42="Вытеснение", TIME(0,30,0),
  E42="Передача смены", TIME(0,20,0),
  E42="Запуск", TIME(0,30,0),
  E42="Смена ассортимента", TIME(0,15,0),
  E42="Переналадка формата", TIME(5,0,0),
  AND(ISNUMBER(F42), ISNUMBER(D42), D42&gt;0), F42/D42/24,
  TRUE, "Ошибка"
)</f>
        <v>3.2812500000000001E-2</v>
      </c>
      <c r="D42" s="88">
        <v>5600</v>
      </c>
      <c r="E42" s="29" t="s">
        <v>232</v>
      </c>
      <c r="F42" s="49">
        <v>4410</v>
      </c>
      <c r="G42" s="34">
        <v>1470</v>
      </c>
      <c r="H42" s="92">
        <f>IFERROR(Линия4[[#This Row],[Количество]]/Линия4[[#This Row],[Шт. в поддоне]], "")</f>
        <v>3</v>
      </c>
      <c r="I42"/>
    </row>
    <row r="43" spans="1:9" ht="13.8" hidden="1" x14ac:dyDescent="0.25">
      <c r="A43" s="47"/>
      <c r="B43" s="47"/>
      <c r="C43" s="28" cm="1">
        <f t="array" ref="C43">_xlfn.IFS(
  OR(E43="CIP 1", E43="CIP1"), TIME(2,30,0),
  OR(E43="CIP 2", E43="CIP2"), TIME(2,30,0),
  OR(E43="CIP 3", E43="CIP3"), TIME(3,20,0),
  E43="Вытеснение", TIME(0,30,0),
  E43="Передача смены", TIME(0,20,0),
  E43="Запуск", TIME(0,30,0),
  E43="Смена ассортимента", TIME(0,15,0),
  E43="Переналадка формата", TIME(5,0,0),
  AND(ISNUMBER(F43), ISNUMBER(D43), D43&gt;0), F43/D43/24,
  TRUE, "Ошибка"
)</f>
        <v>1.0416666666666666E-2</v>
      </c>
      <c r="D43" s="92"/>
      <c r="E43" s="29" t="s">
        <v>180</v>
      </c>
      <c r="F43" s="49"/>
      <c r="G43" s="93"/>
      <c r="H43" s="92" t="str">
        <f>IFERROR(Линия4[[#This Row],[Количество]]/Линия4[[#This Row],[Шт. в поддоне]], "")</f>
        <v/>
      </c>
      <c r="I43"/>
    </row>
    <row r="44" spans="1:9" ht="13.8" hidden="1" x14ac:dyDescent="0.25">
      <c r="A44" s="47"/>
      <c r="B44" s="47"/>
      <c r="C44" s="28" cm="1">
        <f t="array" ref="C44">_xlfn.IFS(
  OR(E44="CIP 1", E44="CIP1"), TIME(2,30,0),
  OR(E44="CIP 2", E44="CIP2"), TIME(2,30,0),
  OR(E44="CIP 3", E44="CIP3"), TIME(3,20,0),
  E44="Вытеснение", TIME(0,30,0),
  E44="Передача смены", TIME(0,20,0),
  E44="Запуск", TIME(0,30,0),
  E44="Смена ассортимента", TIME(0,15,0),
  E44="Переналадка формата", TIME(5,0,0),
  AND(ISNUMBER(F44), ISNUMBER(D44), D44&gt;0), F44/D44/24,
  TRUE, "Ошибка"
)</f>
        <v>3.2812500000000001E-2</v>
      </c>
      <c r="D44" s="88">
        <v>5600</v>
      </c>
      <c r="E44" s="29" t="s">
        <v>233</v>
      </c>
      <c r="F44" s="49">
        <v>4410</v>
      </c>
      <c r="G44" s="34">
        <v>1470</v>
      </c>
      <c r="H44" s="92">
        <f>IFERROR(Линия4[[#This Row],[Количество]]/Линия4[[#This Row],[Шт. в поддоне]], "")</f>
        <v>3</v>
      </c>
      <c r="I44"/>
    </row>
    <row r="45" spans="1:9" ht="13.8" hidden="1" x14ac:dyDescent="0.25">
      <c r="A45" s="47"/>
      <c r="B45" s="47"/>
      <c r="C45" s="28" cm="1">
        <f t="array" ref="C45">_xlfn.IFS(
  OR(E45="CIP 1", E45="CIP1"), TIME(2,30,0),
  OR(E45="CIP 2", E45="CIP2"), TIME(2,30,0),
  OR(E45="CIP 3", E45="CIP3"), TIME(3,20,0),
  E45="Вытеснение", TIME(0,30,0),
  E45="Передача смены", TIME(0,20,0),
  E45="Запуск", TIME(0,30,0),
  E45="Смена ассортимента", TIME(0,15,0),
  E45="Переналадка формата", TIME(5,0,0),
  AND(ISNUMBER(F45), ISNUMBER(D45), D45&gt;0), F45/D45/24,
  TRUE, "Ошибка"
)</f>
        <v>1.0416666666666666E-2</v>
      </c>
      <c r="D45" s="88"/>
      <c r="E45" s="29" t="s">
        <v>180</v>
      </c>
      <c r="F45" s="49"/>
      <c r="G45" s="93"/>
      <c r="H45" s="92" t="str">
        <f>IFERROR(Линия4[[#This Row],[Количество]]/Линия4[[#This Row],[Шт. в поддоне]], "")</f>
        <v/>
      </c>
      <c r="I45"/>
    </row>
    <row r="46" spans="1:9" ht="13.8" hidden="1" x14ac:dyDescent="0.25">
      <c r="A46" s="47"/>
      <c r="B46" s="47"/>
      <c r="C46" s="28" cm="1">
        <f t="array" ref="C46">_xlfn.IFS(
  OR(E46="CIP 1", E46="CIP1"), TIME(2,30,0),
  OR(E46="CIP 2", E46="CIP2"), TIME(2,30,0),
  OR(E46="CIP 3", E46="CIP3"), TIME(3,20,0),
  E46="Вытеснение", TIME(0,30,0),
  E46="Передача смены", TIME(0,20,0),
  E46="Запуск", TIME(0,30,0),
  E46="Смена ассортимента", TIME(0,15,0),
  E46="Переналадка формата", TIME(5,0,0),
  AND(ISNUMBER(F46), ISNUMBER(D46), D46&gt;0), F46/D46/24,
  TRUE, "Ошибка"
)</f>
        <v>0.3125</v>
      </c>
      <c r="D46" s="88">
        <v>5600</v>
      </c>
      <c r="E46" s="29" t="s">
        <v>234</v>
      </c>
      <c r="F46" s="49">
        <v>42000</v>
      </c>
      <c r="G46" s="34">
        <v>1470</v>
      </c>
      <c r="H46" s="92">
        <f>IFERROR(Линия4[[#This Row],[Количество]]/Линия4[[#This Row],[Шт. в поддоне]], "")</f>
        <v>28.571428571428573</v>
      </c>
      <c r="I46"/>
    </row>
    <row r="47" spans="1:9" ht="13.8" hidden="1" x14ac:dyDescent="0.25">
      <c r="A47" s="47"/>
      <c r="B47" s="47"/>
      <c r="C47" s="28" cm="1">
        <f t="array" ref="C47">_xlfn.IFS(
  OR(E47="CIP 1", E47="CIP1"), TIME(2,30,0),
  OR(E47="CIP 2", E47="CIP2"), TIME(2,30,0),
  OR(E47="CIP 3", E47="CIP3"), TIME(3,20,0),
  E47="Вытеснение", TIME(0,30,0),
  E47="Передача смены", TIME(0,20,0),
  E47="Запуск", TIME(0,30,0),
  E47="Смена ассортимента", TIME(0,15,0),
  E47="Переналадка формата", TIME(5,0,0),
  AND(ISNUMBER(F47), ISNUMBER(D47), D47&gt;0), F47/D47/24,
  TRUE, "Ошибка"
)</f>
        <v>0.10416666666666667</v>
      </c>
      <c r="D47" s="92"/>
      <c r="E47" s="29" t="s">
        <v>235</v>
      </c>
      <c r="F47" s="49"/>
      <c r="G47" s="93"/>
      <c r="H47" s="92" t="str">
        <f>IFERROR(Линия4[[#This Row],[Количество]]/Линия4[[#This Row],[Шт. в поддоне]], "")</f>
        <v/>
      </c>
      <c r="I47"/>
    </row>
    <row r="48" spans="1:9" ht="13.8" hidden="1" x14ac:dyDescent="0.25">
      <c r="A48" s="47"/>
      <c r="B48" s="47"/>
      <c r="C48" s="28" cm="1">
        <f t="array" ref="C48">_xlfn.IFS(
  OR(E48="CIP 1", E48="CIP1"), TIME(2,30,0),
  OR(E48="CIP 2", E48="CIP2"), TIME(2,30,0),
  OR(E48="CIP 3", E48="CIP3"), TIME(3,20,0),
  E48="Вытеснение", TIME(0,30,0),
  E48="Передача смены", TIME(0,20,0),
  E48="Запуск", TIME(0,30,0),
  E48="Смена ассортимента", TIME(0,15,0),
  E48="Переналадка формата", TIME(5,0,0),
  AND(ISNUMBER(F48), ISNUMBER(D48), D48&gt;0), F48/D48/24,
  TRUE, "Ошибка"
)</f>
        <v>3.2812500000000001E-2</v>
      </c>
      <c r="D48" s="88">
        <v>5600</v>
      </c>
      <c r="E48" s="29" t="s">
        <v>236</v>
      </c>
      <c r="F48" s="49">
        <v>4410</v>
      </c>
      <c r="G48" s="34">
        <v>1470</v>
      </c>
      <c r="H48" s="92">
        <f>IFERROR(Линия4[[#This Row],[Количество]]/Линия4[[#This Row],[Шт. в поддоне]], "")</f>
        <v>3</v>
      </c>
      <c r="I48"/>
    </row>
    <row r="49" spans="1:9" ht="13.8" hidden="1" x14ac:dyDescent="0.25">
      <c r="A49" s="47"/>
      <c r="B49" s="47"/>
      <c r="C49" s="28" cm="1">
        <f t="array" ref="C49">_xlfn.IFS(
  OR(E49="CIP 1", E49="CIP1"), TIME(2,30,0),
  OR(E49="CIP 2", E49="CIP2"), TIME(2,30,0),
  OR(E49="CIP 3", E49="CIP3"), TIME(3,20,0),
  E49="Вытеснение", TIME(0,30,0),
  E49="Передача смены", TIME(0,20,0),
  E49="Запуск", TIME(0,30,0),
  E49="Смена ассортимента", TIME(0,15,0),
  E49="Переналадка формата", TIME(5,0,0),
  AND(ISNUMBER(F49), ISNUMBER(D49), D49&gt;0), F49/D49/24,
  TRUE, "Ошибка"
)</f>
        <v>1.0416666666666666E-2</v>
      </c>
      <c r="D49" s="88"/>
      <c r="E49" s="29" t="s">
        <v>180</v>
      </c>
      <c r="F49" s="49"/>
      <c r="G49" s="93"/>
      <c r="H49" s="92" t="str">
        <f>IFERROR(Линия4[[#This Row],[Количество]]/Линия4[[#This Row],[Шт. в поддоне]], "")</f>
        <v/>
      </c>
      <c r="I49"/>
    </row>
    <row r="50" spans="1:9" ht="13.8" hidden="1" x14ac:dyDescent="0.25">
      <c r="A50" s="47"/>
      <c r="B50" s="47"/>
      <c r="C50" s="28" cm="1">
        <f t="array" ref="C50">_xlfn.IFS(
  OR(E50="CIP 1", E50="CIP1"), TIME(2,30,0),
  OR(E50="CIP 2", E50="CIP2"), TIME(2,30,0),
  OR(E50="CIP 3", E50="CIP3"), TIME(3,20,0),
  E50="Вытеснение", TIME(0,30,0),
  E50="Передача смены", TIME(0,20,0),
  E50="Запуск", TIME(0,30,0),
  E50="Смена ассортимента", TIME(0,15,0),
  E50="Переналадка формата", TIME(5,0,0),
  AND(ISNUMBER(F50), ISNUMBER(D50), D50&gt;0), F50/D50/24,
  TRUE, "Ошибка"
)</f>
        <v>3.2812500000000001E-2</v>
      </c>
      <c r="D50" s="88">
        <v>5600</v>
      </c>
      <c r="E50" s="29" t="s">
        <v>237</v>
      </c>
      <c r="F50" s="49">
        <v>4410</v>
      </c>
      <c r="G50" s="34">
        <v>1470</v>
      </c>
      <c r="H50" s="92">
        <f>IFERROR(Линия4[[#This Row],[Количество]]/Линия4[[#This Row],[Шт. в поддоне]], "")</f>
        <v>3</v>
      </c>
      <c r="I50"/>
    </row>
    <row r="51" spans="1:9" ht="13.8" hidden="1" x14ac:dyDescent="0.25">
      <c r="A51" s="47"/>
      <c r="B51" s="47"/>
      <c r="C51" s="28" cm="1">
        <f t="array" ref="C51">_xlfn.IFS(
  OR(E51="CIP 1", E51="CIP1"), TIME(2,30,0),
  OR(E51="CIP 2", E51="CIP2"), TIME(2,30,0),
  OR(E51="CIP 3", E51="CIP3"), TIME(3,20,0),
  E51="Вытеснение", TIME(0,30,0),
  E51="Передача смены", TIME(0,20,0),
  E51="Запуск", TIME(0,30,0),
  E51="Смена ассортимента", TIME(0,15,0),
  E51="Переналадка формата", TIME(5,0,0),
  AND(ISNUMBER(F51), ISNUMBER(D51), D51&gt;0), F51/D51/24,
  TRUE, "Ошибка"
)</f>
        <v>1.0416666666666666E-2</v>
      </c>
      <c r="D51" s="92"/>
      <c r="E51" s="29" t="s">
        <v>180</v>
      </c>
      <c r="F51" s="49"/>
      <c r="G51" s="93"/>
      <c r="H51" s="92" t="str">
        <f>IFERROR(Линия4[[#This Row],[Количество]]/Линия4[[#This Row],[Шт. в поддоне]], "")</f>
        <v/>
      </c>
      <c r="I51"/>
    </row>
    <row r="52" spans="1:9" ht="13.8" hidden="1" x14ac:dyDescent="0.25">
      <c r="A52" s="47"/>
      <c r="B52" s="47"/>
      <c r="C52" s="28" cm="1">
        <f t="array" ref="C52">_xlfn.IFS(
  OR(E52="CIP 1", E52="CIP1"), TIME(2,30,0),
  OR(E52="CIP 2", E52="CIP2"), TIME(2,30,0),
  OR(E52="CIP 3", E52="CIP3"), TIME(3,20,0),
  E52="Вытеснение", TIME(0,30,0),
  E52="Передача смены", TIME(0,20,0),
  E52="Запуск", TIME(0,30,0),
  E52="Смена ассортимента", TIME(0,15,0),
  E52="Переналадка формата", TIME(5,0,0),
  AND(ISNUMBER(F52), ISNUMBER(D52), D52&gt;0), F52/D52/24,
  TRUE, "Ошибка"
)</f>
        <v>6.6964285714285712E-2</v>
      </c>
      <c r="D52" s="88">
        <v>5600</v>
      </c>
      <c r="E52" s="29" t="s">
        <v>238</v>
      </c>
      <c r="F52" s="49">
        <v>9000</v>
      </c>
      <c r="G52" s="34">
        <v>1470</v>
      </c>
      <c r="H52" s="92">
        <f>IFERROR(Линия4[[#This Row],[Количество]]/Линия4[[#This Row],[Шт. в поддоне]], "")</f>
        <v>6.1224489795918364</v>
      </c>
      <c r="I52"/>
    </row>
    <row r="53" spans="1:9" ht="13.8" hidden="1" x14ac:dyDescent="0.25">
      <c r="A53" s="47"/>
      <c r="B53" s="47"/>
      <c r="C53" s="28" cm="1">
        <f t="array" ref="C53">_xlfn.IFS(
  OR(E53="CIP 1", E53="CIP1"), TIME(2,30,0),
  OR(E53="CIP 2", E53="CIP2"), TIME(2,30,0),
  OR(E53="CIP 3", E53="CIP3"), TIME(3,20,0),
  E53="Вытеснение", TIME(0,30,0),
  E53="Передача смены", TIME(0,20,0),
  E53="Запуск", TIME(0,30,0),
  E53="Смена ассортимента", TIME(0,15,0),
  E53="Переналадка формата", TIME(5,0,0),
  AND(ISNUMBER(F53), ISNUMBER(D53), D53&gt;0), F53/D53/24,
  TRUE, "Ошибка"
)</f>
        <v>2.0833333333333332E-2</v>
      </c>
      <c r="D53" s="88"/>
      <c r="E53" s="29" t="s">
        <v>162</v>
      </c>
      <c r="F53" s="49"/>
      <c r="G53" s="93"/>
      <c r="H53" s="92" t="str">
        <f>IFERROR(Линия4[[#This Row],[Количество]]/Линия4[[#This Row],[Шт. в поддоне]], "")</f>
        <v/>
      </c>
      <c r="I53"/>
    </row>
    <row r="54" spans="1:9" ht="13.8" hidden="1" x14ac:dyDescent="0.25">
      <c r="A54" s="47"/>
      <c r="B54" s="47"/>
      <c r="C54" s="28" cm="1">
        <f t="array" ref="C54">_xlfn.IFS(
  OR(E54="CIP 1", E54="CIP1"), TIME(2,30,0),
  OR(E54="CIP 2", E54="CIP2"), TIME(2,30,0),
  OR(E54="CIP 3", E54="CIP3"), TIME(3,20,0),
  E54="Вытеснение", TIME(0,30,0),
  E54="Передача смены", TIME(0,20,0),
  E54="Запуск", TIME(0,30,0),
  E54="Смена ассортимента", TIME(0,15,0),
  E54="Переналадка формата", TIME(5,0,0),
  AND(ISNUMBER(F54), ISNUMBER(D54), D54&gt;0), F54/D54/24,
  TRUE, "Ошибка"
)</f>
        <v>3.2812500000000001E-2</v>
      </c>
      <c r="D54" s="88">
        <v>5600</v>
      </c>
      <c r="E54" s="29" t="s">
        <v>239</v>
      </c>
      <c r="F54" s="49">
        <v>4410</v>
      </c>
      <c r="G54" s="34">
        <v>1470</v>
      </c>
      <c r="H54" s="92">
        <f>IFERROR(Линия4[[#This Row],[Количество]]/Линия4[[#This Row],[Шт. в поддоне]], "")</f>
        <v>3</v>
      </c>
      <c r="I54"/>
    </row>
    <row r="55" spans="1:9" ht="13.8" hidden="1" x14ac:dyDescent="0.25">
      <c r="A55" s="47"/>
      <c r="B55" s="47"/>
      <c r="C55" s="28" cm="1">
        <f t="array" ref="C55">_xlfn.IFS(
  OR(E55="CIP 1", E55="CIP1"), TIME(2,30,0),
  OR(E55="CIP 2", E55="CIP2"), TIME(2,30,0),
  OR(E55="CIP 3", E55="CIP3"), TIME(3,20,0),
  E55="Вытеснение", TIME(0,30,0),
  E55="Передача смены", TIME(0,20,0),
  E55="Запуск", TIME(0,30,0),
  E55="Смена ассортимента", TIME(0,15,0),
  E55="Переналадка формата", TIME(5,0,0),
  AND(ISNUMBER(F55), ISNUMBER(D55), D55&gt;0), F55/D55/24,
  TRUE, "Ошибка"
)</f>
        <v>1.0416666666666666E-2</v>
      </c>
      <c r="D55" s="92"/>
      <c r="E55" s="29" t="s">
        <v>180</v>
      </c>
      <c r="F55" s="49"/>
      <c r="G55" s="93"/>
      <c r="H55" s="92" t="str">
        <f>IFERROR(Линия4[[#This Row],[Количество]]/Линия4[[#This Row],[Шт. в поддоне]], "")</f>
        <v/>
      </c>
      <c r="I55"/>
    </row>
    <row r="56" spans="1:9" ht="13.8" hidden="1" x14ac:dyDescent="0.25">
      <c r="A56" s="47"/>
      <c r="B56" s="47"/>
      <c r="C56" s="28" cm="1">
        <f t="array" ref="C56">_xlfn.IFS(
  OR(E56="CIP 1", E56="CIP1"), TIME(2,30,0),
  OR(E56="CIP 2", E56="CIP2"), TIME(2,30,0),
  OR(E56="CIP 3", E56="CIP3"), TIME(3,20,0),
  E56="Вытеснение", TIME(0,30,0),
  E56="Передача смены", TIME(0,20,0),
  E56="Запуск", TIME(0,30,0),
  E56="Смена ассортимента", TIME(0,15,0),
  E56="Переналадка формата", TIME(5,0,0),
  AND(ISNUMBER(F56), ISNUMBER(D56), D56&gt;0), F56/D56/24,
  TRUE, "Ошибка"
)</f>
        <v>0.10119047619047618</v>
      </c>
      <c r="D56" s="88">
        <v>5600</v>
      </c>
      <c r="E56" s="29" t="s">
        <v>240</v>
      </c>
      <c r="F56" s="49">
        <v>13600</v>
      </c>
      <c r="G56" s="34">
        <v>1470</v>
      </c>
      <c r="H56" s="92">
        <f>IFERROR(Линия4[[#This Row],[Количество]]/Линия4[[#This Row],[Шт. в поддоне]], "")</f>
        <v>9.2517006802721085</v>
      </c>
      <c r="I56"/>
    </row>
    <row r="57" spans="1:9" ht="13.8" hidden="1" x14ac:dyDescent="0.25">
      <c r="A57" s="47"/>
      <c r="B57" s="47"/>
      <c r="C57" s="28" cm="1">
        <f t="array" ref="C57">_xlfn.IFS(
  OR(E57="CIP 1", E57="CIP1"), TIME(2,30,0),
  OR(E57="CIP 2", E57="CIP2"), TIME(2,30,0),
  OR(E57="CIP 3", E57="CIP3"), TIME(3,20,0),
  E57="Вытеснение", TIME(0,30,0),
  E57="Передача смены", TIME(0,20,0),
  E57="Запуск", TIME(0,30,0),
  E57="Смена ассортимента", TIME(0,15,0),
  E57="Переналадка формата", TIME(5,0,0),
  AND(ISNUMBER(F57), ISNUMBER(D57), D57&gt;0), F57/D57/24,
  TRUE, "Ошибка"
)</f>
        <v>2.0833333333333332E-2</v>
      </c>
      <c r="D57" s="88"/>
      <c r="E57" s="29" t="s">
        <v>162</v>
      </c>
      <c r="F57" s="49"/>
      <c r="G57" s="93"/>
      <c r="H57" s="92" t="str">
        <f>IFERROR(Линия4[[#This Row],[Количество]]/Линия4[[#This Row],[Шт. в поддоне]], "")</f>
        <v/>
      </c>
      <c r="I57"/>
    </row>
    <row r="58" spans="1:9" ht="13.8" hidden="1" x14ac:dyDescent="0.25">
      <c r="A58" s="47"/>
      <c r="B58" s="47"/>
      <c r="C58" s="28" cm="1">
        <f t="array" ref="C58">_xlfn.IFS(
  OR(E58="CIP 1", E58="CIP1"), TIME(2,30,0),
  OR(E58="CIP 2", E58="CIP2"), TIME(2,30,0),
  OR(E58="CIP 3", E58="CIP3"), TIME(3,20,0),
  E58="Вытеснение", TIME(0,30,0),
  E58="Передача смены", TIME(0,20,0),
  E58="Запуск", TIME(0,30,0),
  E58="Смена ассортимента", TIME(0,15,0),
  E58="Переналадка формата", TIME(5,0,0),
  AND(ISNUMBER(F58), ISNUMBER(D58), D58&gt;0), F58/D58/24,
  TRUE, "Ошибка"
)</f>
        <v>3.2812500000000001E-2</v>
      </c>
      <c r="D58" s="88">
        <v>5600</v>
      </c>
      <c r="E58" s="29" t="s">
        <v>241</v>
      </c>
      <c r="F58" s="49">
        <v>4410</v>
      </c>
      <c r="G58" s="34">
        <v>1470</v>
      </c>
      <c r="H58" s="92">
        <f>IFERROR(Линия4[[#This Row],[Количество]]/Линия4[[#This Row],[Шт. в поддоне]], "")</f>
        <v>3</v>
      </c>
      <c r="I58"/>
    </row>
    <row r="59" spans="1:9" ht="13.8" hidden="1" x14ac:dyDescent="0.25">
      <c r="A59" s="47"/>
      <c r="B59" s="47"/>
      <c r="C59" s="28" cm="1">
        <f t="array" ref="C59">_xlfn.IFS(
  OR(E59="CIP 1", E59="CIP1"), TIME(2,30,0),
  OR(E59="CIP 2", E59="CIP2"), TIME(2,30,0),
  OR(E59="CIP 3", E59="CIP3"), TIME(3,20,0),
  E59="Вытеснение", TIME(0,30,0),
  E59="Передача смены", TIME(0,20,0),
  E59="Запуск", TIME(0,30,0),
  E59="Смена ассортимента", TIME(0,15,0),
  E59="Переналадка формата", TIME(5,0,0),
  AND(ISNUMBER(F59), ISNUMBER(D59), D59&gt;0), F59/D59/24,
  TRUE, "Ошибка"
)</f>
        <v>1.0416666666666666E-2</v>
      </c>
      <c r="D59" s="92"/>
      <c r="E59" s="29" t="s">
        <v>180</v>
      </c>
      <c r="F59" s="49"/>
      <c r="G59" s="93"/>
      <c r="H59" s="92" t="str">
        <f>IFERROR(Линия4[[#This Row],[Количество]]/Линия4[[#This Row],[Шт. в поддоне]], "")</f>
        <v/>
      </c>
      <c r="I59"/>
    </row>
    <row r="60" spans="1:9" ht="13.8" hidden="1" x14ac:dyDescent="0.25">
      <c r="A60" s="47"/>
      <c r="B60" s="47"/>
      <c r="C60" s="28" cm="1">
        <f t="array" ref="C60">_xlfn.IFS(
  OR(E60="CIP 1", E60="CIP1"), TIME(2,30,0),
  OR(E60="CIP 2", E60="CIP2"), TIME(2,30,0),
  OR(E60="CIP 3", E60="CIP3"), TIME(3,20,0),
  E60="Вытеснение", TIME(0,30,0),
  E60="Передача смены", TIME(0,20,0),
  E60="Запуск", TIME(0,30,0),
  E60="Смена ассортимента", TIME(0,15,0),
  E60="Переналадка формата", TIME(5,0,0),
  AND(ISNUMBER(F60), ISNUMBER(D60), D60&gt;0), F60/D60/24,
  TRUE, "Ошибка"
)</f>
        <v>0.10119047619047618</v>
      </c>
      <c r="D60" s="88">
        <v>5600</v>
      </c>
      <c r="E60" s="29" t="s">
        <v>242</v>
      </c>
      <c r="F60" s="49">
        <v>13600</v>
      </c>
      <c r="G60" s="34">
        <v>1470</v>
      </c>
      <c r="H60" s="92">
        <f>IFERROR(Линия4[[#This Row],[Количество]]/Линия4[[#This Row],[Шт. в поддоне]], "")</f>
        <v>9.2517006802721085</v>
      </c>
      <c r="I60"/>
    </row>
    <row r="61" spans="1:9" ht="13.8" hidden="1" x14ac:dyDescent="0.25">
      <c r="A61" s="47"/>
      <c r="B61" s="47"/>
      <c r="C61" s="28" cm="1">
        <f t="array" ref="C61">_xlfn.IFS(
  OR(E61="CIP 1", E61="CIP1"), TIME(2,30,0),
  OR(E61="CIP 2", E61="CIP2"), TIME(2,30,0),
  OR(E61="CIP 3", E61="CIP3"), TIME(3,20,0),
  E61="Вытеснение", TIME(0,30,0),
  E61="Передача смены", TIME(0,20,0),
  E61="Запуск", TIME(0,30,0),
  E61="Смена ассортимента", TIME(0,15,0),
  E61="Переналадка формата", TIME(5,0,0),
  AND(ISNUMBER(F61), ISNUMBER(D61), D61&gt;0), F61/D61/24,
  TRUE, "Ошибка"
)</f>
        <v>0.10416666666666667</v>
      </c>
      <c r="D61" s="88"/>
      <c r="E61" s="29" t="s">
        <v>235</v>
      </c>
      <c r="F61" s="49"/>
      <c r="G61" s="93"/>
      <c r="H61" s="92" t="str">
        <f>IFERROR(Линия4[[#This Row],[Количество]]/Линия4[[#This Row],[Шт. в поддоне]], "")</f>
        <v/>
      </c>
      <c r="I61"/>
    </row>
    <row r="62" spans="1:9" ht="13.8" hidden="1" x14ac:dyDescent="0.25">
      <c r="A62" s="47"/>
      <c r="B62" s="47"/>
      <c r="C62" s="28" cm="1">
        <f t="array" ref="C62">_xlfn.IFS(
  OR(E62="CIP 1", E62="CIP1"), TIME(2,30,0),
  OR(E62="CIP 2", E62="CIP2"), TIME(2,30,0),
  OR(E62="CIP 3", E62="CIP3"), TIME(3,20,0),
  E62="Вытеснение", TIME(0,30,0),
  E62="Передача смены", TIME(0,20,0),
  E62="Запуск", TIME(0,30,0),
  E62="Смена ассортимента", TIME(0,15,0),
  E62="Переналадка формата", TIME(5,0,0),
  AND(ISNUMBER(F62), ISNUMBER(D62), D62&gt;0), F62/D62/24,
  TRUE, "Ошибка"
)</f>
        <v>0.13392857142857142</v>
      </c>
      <c r="D62" s="88">
        <v>5600</v>
      </c>
      <c r="E62" s="29" t="s">
        <v>243</v>
      </c>
      <c r="F62" s="49">
        <v>18000</v>
      </c>
      <c r="G62" s="34">
        <v>1470</v>
      </c>
      <c r="H62" s="92">
        <f>IFERROR(Линия4[[#This Row],[Количество]]/Линия4[[#This Row],[Шт. в поддоне]], "")</f>
        <v>12.244897959183673</v>
      </c>
      <c r="I62"/>
    </row>
    <row r="63" spans="1:9" ht="13.8" hidden="1" x14ac:dyDescent="0.25">
      <c r="A63" s="47"/>
      <c r="B63" s="47"/>
      <c r="C63" s="28" cm="1">
        <f t="array" ref="C63">_xlfn.IFS(
  OR(E63="CIP 1", E63="CIP1"), TIME(2,30,0),
  OR(E63="CIP 2", E63="CIP2"), TIME(2,30,0),
  OR(E63="CIP 3", E63="CIP3"), TIME(3,20,0),
  E63="Вытеснение", TIME(0,30,0),
  E63="Передача смены", TIME(0,20,0),
  E63="Запуск", TIME(0,30,0),
  E63="Смена ассортимента", TIME(0,15,0),
  E63="Переналадка формата", TIME(5,0,0),
  AND(ISNUMBER(F63), ISNUMBER(D63), D63&gt;0), F63/D63/24,
  TRUE, "Ошибка"
)</f>
        <v>2.0833333333333332E-2</v>
      </c>
      <c r="D63" s="92"/>
      <c r="E63" s="29" t="s">
        <v>162</v>
      </c>
      <c r="F63" s="49"/>
      <c r="G63" s="93"/>
      <c r="H63" s="92" t="str">
        <f>IFERROR(Линия4[[#This Row],[Количество]]/Линия4[[#This Row],[Шт. в поддоне]], "")</f>
        <v/>
      </c>
      <c r="I63"/>
    </row>
    <row r="64" spans="1:9" ht="13.8" hidden="1" x14ac:dyDescent="0.25">
      <c r="A64" s="47"/>
      <c r="B64" s="47"/>
      <c r="C64" s="28" cm="1">
        <f t="array" ref="C64">_xlfn.IFS(
  OR(E64="CIP 1", E64="CIP1"), TIME(2,30,0),
  OR(E64="CIP 2", E64="CIP2"), TIME(2,30,0),
  OR(E64="CIP 3", E64="CIP3"), TIME(3,20,0),
  E64="Вытеснение", TIME(0,30,0),
  E64="Передача смены", TIME(0,20,0),
  E64="Запуск", TIME(0,30,0),
  E64="Смена ассортимента", TIME(0,15,0),
  E64="Переналадка формата", TIME(5,0,0),
  AND(ISNUMBER(F64), ISNUMBER(D64), D64&gt;0), F64/D64/24,
  TRUE, "Ошибка"
)</f>
        <v>3.2812500000000001E-2</v>
      </c>
      <c r="D64" s="88">
        <v>5600</v>
      </c>
      <c r="E64" s="29" t="s">
        <v>244</v>
      </c>
      <c r="F64" s="49">
        <v>4410</v>
      </c>
      <c r="G64" s="34">
        <v>1470</v>
      </c>
      <c r="H64" s="92">
        <f>IFERROR(Линия4[[#This Row],[Количество]]/Линия4[[#This Row],[Шт. в поддоне]], "")</f>
        <v>3</v>
      </c>
      <c r="I64"/>
    </row>
    <row r="65" spans="1:9" ht="13.8" hidden="1" x14ac:dyDescent="0.25">
      <c r="A65" s="47"/>
      <c r="B65" s="47"/>
      <c r="C65" s="28" cm="1">
        <f t="array" ref="C65">_xlfn.IFS(
  OR(E65="CIP 1", E65="CIP1"), TIME(2,30,0),
  OR(E65="CIP 2", E65="CIP2"), TIME(2,30,0),
  OR(E65="CIP 3", E65="CIP3"), TIME(3,20,0),
  E65="Вытеснение", TIME(0,30,0),
  E65="Передача смены", TIME(0,20,0),
  E65="Запуск", TIME(0,30,0),
  E65="Смена ассортимента", TIME(0,15,0),
  E65="Переналадка формата", TIME(5,0,0),
  AND(ISNUMBER(F65), ISNUMBER(D65), D65&gt;0), F65/D65/24,
  TRUE, "Ошибка"
)</f>
        <v>1.0416666666666666E-2</v>
      </c>
      <c r="D65" s="88"/>
      <c r="E65" s="29" t="s">
        <v>180</v>
      </c>
      <c r="F65" s="49"/>
      <c r="G65" s="93"/>
      <c r="H65" s="92" t="str">
        <f>IFERROR(Линия4[[#This Row],[Количество]]/Линия4[[#This Row],[Шт. в поддоне]], "")</f>
        <v/>
      </c>
      <c r="I65"/>
    </row>
    <row r="66" spans="1:9" ht="13.8" hidden="1" x14ac:dyDescent="0.25">
      <c r="A66" s="47"/>
      <c r="B66" s="47"/>
      <c r="C66" s="28" cm="1">
        <f t="array" ref="C66">_xlfn.IFS(
  OR(E66="CIP 1", E66="CIP1"), TIME(2,30,0),
  OR(E66="CIP 2", E66="CIP2"), TIME(2,30,0),
  OR(E66="CIP 3", E66="CIP3"), TIME(3,20,0),
  E66="Вытеснение", TIME(0,30,0),
  E66="Передача смены", TIME(0,20,0),
  E66="Запуск", TIME(0,30,0),
  E66="Смена ассортимента", TIME(0,15,0),
  E66="Переналадка формата", TIME(5,0,0),
  AND(ISNUMBER(F66), ISNUMBER(D66), D66&gt;0), F66/D66/24,
  TRUE, "Ошибка"
)</f>
        <v>0.10119047619047618</v>
      </c>
      <c r="D66" s="88">
        <v>5600</v>
      </c>
      <c r="E66" s="29" t="s">
        <v>245</v>
      </c>
      <c r="F66" s="49">
        <v>13600</v>
      </c>
      <c r="G66" s="34">
        <v>1470</v>
      </c>
      <c r="H66" s="92">
        <f>IFERROR(Линия4[[#This Row],[Количество]]/Линия4[[#This Row],[Шт. в поддоне]], "")</f>
        <v>9.2517006802721085</v>
      </c>
      <c r="I66"/>
    </row>
    <row r="67" spans="1:9" ht="13.8" hidden="1" x14ac:dyDescent="0.25">
      <c r="A67" s="47"/>
      <c r="B67" s="47"/>
      <c r="C67" s="28" cm="1">
        <f t="array" ref="C67">_xlfn.IFS(
  OR(E67="CIP 1", E67="CIP1"), TIME(2,30,0),
  OR(E67="CIP 2", E67="CIP2"), TIME(2,30,0),
  OR(E67="CIP 3", E67="CIP3"), TIME(3,20,0),
  E67="Вытеснение", TIME(0,30,0),
  E67="Передача смены", TIME(0,20,0),
  E67="Запуск", TIME(0,30,0),
  E67="Смена ассортимента", TIME(0,15,0),
  E67="Переналадка формата", TIME(5,0,0),
  AND(ISNUMBER(F67), ISNUMBER(D67), D67&gt;0), F67/D67/24,
  TRUE, "Ошибка"
)</f>
        <v>0.10416666666666667</v>
      </c>
      <c r="D67" s="92"/>
      <c r="E67" s="29" t="s">
        <v>235</v>
      </c>
      <c r="F67" s="49"/>
      <c r="G67" s="93"/>
      <c r="H67" s="92" t="str">
        <f>IFERROR(Линия4[[#This Row],[Количество]]/Линия4[[#This Row],[Шт. в поддоне]], "")</f>
        <v/>
      </c>
      <c r="I67"/>
    </row>
    <row r="68" spans="1:9" ht="13.8" hidden="1" x14ac:dyDescent="0.25">
      <c r="A68" s="47"/>
      <c r="B68" s="47"/>
      <c r="C68" s="28"/>
      <c r="D68" s="88">
        <v>5600</v>
      </c>
      <c r="E68" s="34" t="s">
        <v>246</v>
      </c>
      <c r="F68" s="50">
        <v>30000</v>
      </c>
      <c r="G68" s="34">
        <v>1470</v>
      </c>
      <c r="H68" s="92">
        <f>IFERROR(Линия4[[#This Row],[Количество]]/Линия4[[#This Row],[Шт. в поддоне]], "")</f>
        <v>20.408163265306122</v>
      </c>
      <c r="I68"/>
    </row>
    <row r="69" spans="1:9" ht="13.8" hidden="1" x14ac:dyDescent="0.25">
      <c r="A69" s="52"/>
      <c r="B69" s="52"/>
      <c r="C69" s="53"/>
      <c r="D69" s="94"/>
      <c r="E69" s="54" t="s">
        <v>247</v>
      </c>
      <c r="F69" s="89"/>
      <c r="G69" s="54"/>
      <c r="H69" s="94" t="str">
        <f>IFERROR(Линия4[[#This Row],[Количество]]/Линия4[[#This Row],[Шт. в поддоне]], "")</f>
        <v/>
      </c>
      <c r="I69"/>
    </row>
    <row r="70" spans="1:9" ht="13.8" hidden="1" x14ac:dyDescent="0.25">
      <c r="A70" s="47">
        <f>'Линия 3'!B133</f>
        <v>46058.422532781231</v>
      </c>
      <c r="B70" s="47">
        <f>Линия4[[#This Row],[Дата начала]]+Линия4[[#This Row],[Длительность]]</f>
        <v>46058.757354209803</v>
      </c>
      <c r="C70" s="28">
        <f t="shared" ref="C70:C94" si="2">IF(E70="Вытеснение",TIME(0,30,0),
IF(E70="Передача смены",TIME(0,20,0),
IF(E70="Запуск",TIME(0,30,0),
IF(E70="Смена ассортимента",TIME(0,15,0),
IF(E70="Переналадка формата",TIME(5,0,0),
IF(E70="CIP 1",TIME(2,30,0),
IF(E70="CIP 2",TIME(2,30,0),
IF(E70="CIP 3",TIME(3,20,0),
IF(AND(ISNUMBER(F70),ISNUMBER(D70),D70&gt;0),F70/D70/24,"Ошибка")))))))))</f>
        <v>0.3348214285714286</v>
      </c>
      <c r="D70" s="31">
        <v>5600</v>
      </c>
      <c r="E70" s="57" t="s">
        <v>231</v>
      </c>
      <c r="F70" s="58">
        <v>45000</v>
      </c>
      <c r="G70" s="29">
        <v>1470</v>
      </c>
      <c r="H70" s="31">
        <f>IFERROR(Линия4[[#This Row],[Количество]]/Линия4[[#This Row],[Шт. в поддоне]], "")</f>
        <v>30.612244897959183</v>
      </c>
      <c r="I70"/>
    </row>
    <row r="71" spans="1:9" ht="13.8" hidden="1" x14ac:dyDescent="0.25">
      <c r="A71" s="47">
        <f>B70</f>
        <v>46058.757354209803</v>
      </c>
      <c r="B71" s="47">
        <f>Линия4[[#This Row],[Дата начала]]+Линия4[[#This Row],[Длительность]]</f>
        <v>46058.767770876468</v>
      </c>
      <c r="C71" s="28">
        <f t="shared" si="2"/>
        <v>1.0416666666666666E-2</v>
      </c>
      <c r="D71" s="31"/>
      <c r="E71" s="29" t="s">
        <v>180</v>
      </c>
      <c r="F71" s="49"/>
      <c r="G71" s="29"/>
      <c r="H71" s="31" t="str">
        <f>IFERROR(Линия4[[#This Row],[Количество]]/Линия4[[#This Row],[Шт. в поддоне]], "")</f>
        <v/>
      </c>
      <c r="I71"/>
    </row>
    <row r="72" spans="1:9" ht="13.8" hidden="1" x14ac:dyDescent="0.25">
      <c r="A72" s="47">
        <f t="shared" ref="A72:A90" si="3">B71</f>
        <v>46058.767770876468</v>
      </c>
      <c r="B72" s="47">
        <f>Линия4[[#This Row],[Дата начала]]+Линия4[[#This Row],[Длительность]]</f>
        <v>46058.844333376466</v>
      </c>
      <c r="C72" s="28">
        <f t="shared" si="2"/>
        <v>7.6562499999999992E-2</v>
      </c>
      <c r="D72" s="31">
        <v>5600</v>
      </c>
      <c r="E72" s="29" t="s">
        <v>248</v>
      </c>
      <c r="F72" s="49">
        <v>10290</v>
      </c>
      <c r="G72" s="29">
        <v>1470</v>
      </c>
      <c r="H72" s="31">
        <f>IFERROR(Линия4[[#This Row],[Количество]]/Линия4[[#This Row],[Шт. в поддоне]], "")</f>
        <v>7</v>
      </c>
      <c r="I72"/>
    </row>
    <row r="73" spans="1:9" ht="13.8" hidden="1" x14ac:dyDescent="0.25">
      <c r="A73" s="47">
        <f t="shared" si="3"/>
        <v>46058.844333376466</v>
      </c>
      <c r="B73" s="47">
        <f>Линия4[[#This Row],[Дата начала]]+Линия4[[#This Row],[Длительность]]</f>
        <v>46058.85475004313</v>
      </c>
      <c r="C73" s="28">
        <f t="shared" si="2"/>
        <v>1.0416666666666666E-2</v>
      </c>
      <c r="D73" s="31"/>
      <c r="E73" s="29" t="s">
        <v>180</v>
      </c>
      <c r="F73" s="49"/>
      <c r="G73" s="29"/>
      <c r="H73" s="31" t="str">
        <f>IFERROR(Линия4[[#This Row],[Количество]]/Линия4[[#This Row],[Шт. в поддоне]], "")</f>
        <v/>
      </c>
      <c r="I73"/>
    </row>
    <row r="74" spans="1:9" ht="13.8" hidden="1" x14ac:dyDescent="0.25">
      <c r="A74" s="47">
        <f t="shared" si="3"/>
        <v>46058.85475004313</v>
      </c>
      <c r="B74" s="47">
        <f>Линия4[[#This Row],[Дата начала]]+Линия4[[#This Row],[Длительность]]</f>
        <v>46058.87855956694</v>
      </c>
      <c r="C74" s="28">
        <f t="shared" si="2"/>
        <v>2.3809523809523808E-2</v>
      </c>
      <c r="D74" s="31">
        <v>5600</v>
      </c>
      <c r="E74" s="29" t="s">
        <v>233</v>
      </c>
      <c r="F74" s="49">
        <v>3200</v>
      </c>
      <c r="G74" s="29">
        <v>1470</v>
      </c>
      <c r="H74" s="31">
        <f>IFERROR(Линия4[[#This Row],[Количество]]/Линия4[[#This Row],[Шт. в поддоне]], "")</f>
        <v>2.1768707482993199</v>
      </c>
      <c r="I74"/>
    </row>
    <row r="75" spans="1:9" ht="13.8" hidden="1" x14ac:dyDescent="0.25">
      <c r="A75" s="47">
        <f t="shared" si="3"/>
        <v>46058.87855956694</v>
      </c>
      <c r="B75" s="47">
        <f>Линия4[[#This Row],[Дата начала]]+Линия4[[#This Row],[Длительность]]</f>
        <v>46058.888976233604</v>
      </c>
      <c r="C75" s="28">
        <f t="shared" si="2"/>
        <v>1.0416666666666666E-2</v>
      </c>
      <c r="D75" s="31"/>
      <c r="E75" s="29" t="s">
        <v>180</v>
      </c>
      <c r="F75" s="49"/>
      <c r="G75" s="29"/>
      <c r="H75" s="31" t="str">
        <f>IFERROR(Линия4[[#This Row],[Количество]]/Линия4[[#This Row],[Шт. в поддоне]], "")</f>
        <v/>
      </c>
      <c r="I75"/>
    </row>
    <row r="76" spans="1:9" ht="13.8" hidden="1" x14ac:dyDescent="0.25">
      <c r="A76" s="47">
        <f t="shared" si="3"/>
        <v>46058.888976233604</v>
      </c>
      <c r="B76" s="47">
        <f>Линия4[[#This Row],[Дата начала]]+Линия4[[#This Row],[Длительность]]</f>
        <v>46059.00802385265</v>
      </c>
      <c r="C76" s="28">
        <f t="shared" si="2"/>
        <v>0.11904761904761905</v>
      </c>
      <c r="D76" s="31">
        <v>5600</v>
      </c>
      <c r="E76" s="57" t="s">
        <v>234</v>
      </c>
      <c r="F76" s="58">
        <v>16000</v>
      </c>
      <c r="G76" s="29">
        <v>1470</v>
      </c>
      <c r="H76" s="31">
        <f>IFERROR(Линия4[[#This Row],[Количество]]/Линия4[[#This Row],[Шт. в поддоне]], "")</f>
        <v>10.884353741496598</v>
      </c>
      <c r="I76" s="95" t="s">
        <v>249</v>
      </c>
    </row>
    <row r="77" spans="1:9" ht="13.8" hidden="1" x14ac:dyDescent="0.25">
      <c r="A77" s="47">
        <f t="shared" si="3"/>
        <v>46059.00802385265</v>
      </c>
      <c r="B77" s="47">
        <f>Линия4[[#This Row],[Дата начала]]+Линия4[[#This Row],[Длительность]]</f>
        <v>46059.028857185986</v>
      </c>
      <c r="C77" s="28">
        <f t="shared" si="2"/>
        <v>2.0833333333333332E-2</v>
      </c>
      <c r="D77" s="31"/>
      <c r="E77" s="29" t="s">
        <v>162</v>
      </c>
      <c r="F77" s="49"/>
      <c r="G77" s="29"/>
      <c r="H77" s="31" t="str">
        <f>IFERROR(Линия4[[#This Row],[Количество]]/Линия4[[#This Row],[Шт. в поддоне]], "")</f>
        <v/>
      </c>
    </row>
    <row r="78" spans="1:9" ht="13.8" hidden="1" x14ac:dyDescent="0.25">
      <c r="A78" s="47">
        <f t="shared" si="3"/>
        <v>46059.028857185986</v>
      </c>
      <c r="B78" s="47">
        <f>Линия4[[#This Row],[Дата начала]]+Линия4[[#This Row],[Длительность]]</f>
        <v>46059.162785757413</v>
      </c>
      <c r="C78" s="28">
        <f t="shared" si="2"/>
        <v>0.13392857142857142</v>
      </c>
      <c r="D78" s="31">
        <v>5600</v>
      </c>
      <c r="E78" s="29" t="s">
        <v>236</v>
      </c>
      <c r="F78" s="49">
        <v>18000</v>
      </c>
      <c r="G78" s="29">
        <v>1470</v>
      </c>
      <c r="H78" s="31">
        <f>IFERROR(Линия4[[#This Row],[Количество]]/Линия4[[#This Row],[Шт. в поддоне]], "")</f>
        <v>12.244897959183673</v>
      </c>
    </row>
    <row r="79" spans="1:9" ht="13.8" hidden="1" x14ac:dyDescent="0.25">
      <c r="A79" s="47">
        <f t="shared" si="3"/>
        <v>46059.162785757413</v>
      </c>
      <c r="B79" s="47">
        <f>Линия4[[#This Row],[Дата начала]]+Линия4[[#This Row],[Длительность]]</f>
        <v>46059.183619090749</v>
      </c>
      <c r="C79" s="28">
        <f t="shared" si="2"/>
        <v>2.0833333333333332E-2</v>
      </c>
      <c r="D79" s="31"/>
      <c r="E79" s="29" t="s">
        <v>162</v>
      </c>
      <c r="F79" s="49"/>
      <c r="G79" s="29"/>
      <c r="H79" s="31" t="str">
        <f>IFERROR(Линия4[[#This Row],[Количество]]/Линия4[[#This Row],[Шт. в поддоне]], "")</f>
        <v/>
      </c>
    </row>
    <row r="80" spans="1:9" ht="13.8" hidden="1" x14ac:dyDescent="0.25">
      <c r="A80" s="47">
        <f t="shared" si="3"/>
        <v>46059.183619090749</v>
      </c>
      <c r="B80" s="47">
        <f>Линия4[[#This Row],[Дата начала]]+Линия4[[#This Row],[Длительность]]</f>
        <v>46059.227369090746</v>
      </c>
      <c r="C80" s="28">
        <f t="shared" si="2"/>
        <v>4.3750000000000004E-2</v>
      </c>
      <c r="D80" s="31">
        <v>5600</v>
      </c>
      <c r="E80" s="29" t="s">
        <v>250</v>
      </c>
      <c r="F80" s="49">
        <v>5880</v>
      </c>
      <c r="G80" s="29">
        <v>1470</v>
      </c>
      <c r="H80" s="31">
        <f>IFERROR(Линия4[[#This Row],[Количество]]/Линия4[[#This Row],[Шт. в поддоне]], "")</f>
        <v>4</v>
      </c>
    </row>
    <row r="81" spans="1:8" ht="13.8" hidden="1" x14ac:dyDescent="0.25">
      <c r="A81" s="47">
        <f t="shared" si="3"/>
        <v>46059.227369090746</v>
      </c>
      <c r="B81" s="47">
        <f>Линия4[[#This Row],[Дата начала]]+Линия4[[#This Row],[Длительность]]</f>
        <v>46059.23778575741</v>
      </c>
      <c r="C81" s="28">
        <f t="shared" si="2"/>
        <v>1.0416666666666666E-2</v>
      </c>
      <c r="D81" s="31"/>
      <c r="E81" s="29" t="s">
        <v>180</v>
      </c>
      <c r="F81" s="49"/>
      <c r="G81" s="29"/>
      <c r="H81" s="31" t="str">
        <f>IFERROR(Линия4[[#This Row],[Количество]]/Линия4[[#This Row],[Шт. в поддоне]], "")</f>
        <v/>
      </c>
    </row>
    <row r="82" spans="1:8" ht="13.8" hidden="1" x14ac:dyDescent="0.25">
      <c r="A82" s="47">
        <v>46055.375</v>
      </c>
      <c r="B82" s="47">
        <f>Линия4[[#This Row],[Дата начала]]+Линия4[[#This Row],[Длительность]]</f>
        <v>46055.553571428572</v>
      </c>
      <c r="C82" s="28">
        <f t="shared" si="2"/>
        <v>0.17857142857142858</v>
      </c>
      <c r="D82" s="31">
        <v>5600</v>
      </c>
      <c r="E82" s="29" t="s">
        <v>242</v>
      </c>
      <c r="F82" s="49">
        <v>24000</v>
      </c>
      <c r="G82" s="29">
        <v>1470</v>
      </c>
      <c r="H82" s="31">
        <f>IFERROR(Линия4[[#This Row],[Количество]]/Линия4[[#This Row],[Шт. в поддоне]], "")</f>
        <v>16.326530612244898</v>
      </c>
    </row>
    <row r="83" spans="1:8" ht="13.8" hidden="1" x14ac:dyDescent="0.25">
      <c r="A83" s="47">
        <f t="shared" si="3"/>
        <v>46055.553571428572</v>
      </c>
      <c r="B83" s="47">
        <f>Линия4[[#This Row],[Дата начала]]+Линия4[[#This Row],[Длительность]]</f>
        <v>46055.657738095237</v>
      </c>
      <c r="C83" s="28">
        <f t="shared" si="2"/>
        <v>0.10416666666666667</v>
      </c>
      <c r="D83" s="31"/>
      <c r="E83" s="29" t="s">
        <v>153</v>
      </c>
      <c r="F83" s="49"/>
      <c r="G83" s="29"/>
      <c r="H83" s="31" t="str">
        <f>IFERROR(Линия4[[#This Row],[Количество]]/Линия4[[#This Row],[Шт. в поддоне]], "")</f>
        <v/>
      </c>
    </row>
    <row r="84" spans="1:8" ht="13.8" hidden="1" x14ac:dyDescent="0.25">
      <c r="A84" s="47">
        <f t="shared" si="3"/>
        <v>46055.657738095237</v>
      </c>
      <c r="B84" s="47">
        <f>Линия4[[#This Row],[Дата начала]]+Линия4[[#This Row],[Длительность]]</f>
        <v>46055.791666666664</v>
      </c>
      <c r="C84" s="28">
        <f t="shared" si="2"/>
        <v>0.13392857142857142</v>
      </c>
      <c r="D84" s="31">
        <v>5600</v>
      </c>
      <c r="E84" s="29" t="s">
        <v>251</v>
      </c>
      <c r="F84" s="49">
        <v>18000</v>
      </c>
      <c r="G84" s="29">
        <v>1470</v>
      </c>
      <c r="H84" s="31">
        <f>IFERROR(Линия4[[#This Row],[Количество]]/Линия4[[#This Row],[Шт. в поддоне]], "")</f>
        <v>12.244897959183673</v>
      </c>
    </row>
    <row r="85" spans="1:8" ht="13.8" hidden="1" x14ac:dyDescent="0.25">
      <c r="A85" s="47">
        <f t="shared" si="3"/>
        <v>46055.791666666664</v>
      </c>
      <c r="B85" s="47">
        <f>Линия4[[#This Row],[Дата начала]]+Линия4[[#This Row],[Длительность]]</f>
        <v>46055.930555555555</v>
      </c>
      <c r="C85" s="28">
        <f t="shared" si="2"/>
        <v>0.1388888888888889</v>
      </c>
      <c r="D85" s="31"/>
      <c r="E85" s="29" t="s">
        <v>158</v>
      </c>
      <c r="F85" s="49"/>
      <c r="G85" s="29"/>
      <c r="H85" s="31" t="str">
        <f>IFERROR(Линия4[[#This Row],[Количество]]/Линия4[[#This Row],[Шт. в поддоне]], "")</f>
        <v/>
      </c>
    </row>
    <row r="86" spans="1:8" ht="13.8" hidden="1" x14ac:dyDescent="0.25">
      <c r="A86" s="47">
        <f t="shared" si="3"/>
        <v>46055.930555555555</v>
      </c>
      <c r="B86" s="47">
        <f>Линия4[[#This Row],[Дата начала]]+Линия4[[#This Row],[Длительность]]</f>
        <v>46056.064484126982</v>
      </c>
      <c r="C86" s="28">
        <f t="shared" si="2"/>
        <v>0.13392857142857142</v>
      </c>
      <c r="D86" s="31">
        <v>5600</v>
      </c>
      <c r="E86" s="29" t="s">
        <v>243</v>
      </c>
      <c r="F86" s="49">
        <v>18000</v>
      </c>
      <c r="G86" s="29">
        <v>1470</v>
      </c>
      <c r="H86" s="31">
        <f>IFERROR(Линия4[[#This Row],[Количество]]/Линия4[[#This Row],[Шт. в поддоне]], "")</f>
        <v>12.244897959183673</v>
      </c>
    </row>
    <row r="87" spans="1:8" ht="13.8" hidden="1" x14ac:dyDescent="0.25">
      <c r="A87" s="47">
        <f t="shared" si="3"/>
        <v>46056.064484126982</v>
      </c>
      <c r="B87" s="47">
        <f>Линия4[[#This Row],[Дата начала]]+Линия4[[#This Row],[Длительность]]</f>
        <v>46056.085317460318</v>
      </c>
      <c r="C87" s="28">
        <f t="shared" si="2"/>
        <v>2.0833333333333332E-2</v>
      </c>
      <c r="D87" s="31"/>
      <c r="E87" s="29" t="s">
        <v>162</v>
      </c>
      <c r="F87" s="49"/>
      <c r="G87" s="29"/>
      <c r="H87" s="31" t="str">
        <f>IFERROR(Линия4[[#This Row],[Количество]]/Линия4[[#This Row],[Шт. в поддоне]], "")</f>
        <v/>
      </c>
    </row>
    <row r="88" spans="1:8" ht="13.8" hidden="1" x14ac:dyDescent="0.25">
      <c r="A88" s="47">
        <f t="shared" si="3"/>
        <v>46056.085317460318</v>
      </c>
      <c r="B88" s="47">
        <f>Линия4[[#This Row],[Дата начала]]+Линия4[[#This Row],[Длительность]]</f>
        <v>46056.123412698413</v>
      </c>
      <c r="C88" s="28">
        <f t="shared" si="2"/>
        <v>3.8095238095238092E-2</v>
      </c>
      <c r="D88" s="31">
        <v>5600</v>
      </c>
      <c r="E88" s="29" t="s">
        <v>252</v>
      </c>
      <c r="F88" s="49">
        <v>5120</v>
      </c>
      <c r="G88" s="29">
        <v>1470</v>
      </c>
      <c r="H88" s="31">
        <f>IFERROR(Линия4[[#This Row],[Количество]]/Линия4[[#This Row],[Шт. в поддоне]], "")</f>
        <v>3.4829931972789114</v>
      </c>
    </row>
    <row r="89" spans="1:8" ht="13.8" hidden="1" x14ac:dyDescent="0.25">
      <c r="A89" s="47">
        <f t="shared" si="3"/>
        <v>46056.123412698413</v>
      </c>
      <c r="B89" s="47">
        <f>Линия4[[#This Row],[Дата начала]]+Линия4[[#This Row],[Длительность]]</f>
        <v>46056.133829365077</v>
      </c>
      <c r="C89" s="28">
        <f t="shared" si="2"/>
        <v>1.0416666666666666E-2</v>
      </c>
      <c r="D89" s="31"/>
      <c r="E89" s="29" t="s">
        <v>180</v>
      </c>
      <c r="F89" s="49"/>
      <c r="G89" s="29"/>
      <c r="H89" s="31" t="str">
        <f>IFERROR(Линия4[[#This Row],[Количество]]/Линия4[[#This Row],[Шт. в поддоне]], "")</f>
        <v/>
      </c>
    </row>
    <row r="90" spans="1:8" ht="13.8" hidden="1" x14ac:dyDescent="0.25">
      <c r="A90" s="47">
        <f t="shared" si="3"/>
        <v>46056.133829365077</v>
      </c>
      <c r="B90" s="47">
        <f>Линия4[[#This Row],[Дата начала]]+Линия4[[#This Row],[Длительность]]</f>
        <v>46056.446329365077</v>
      </c>
      <c r="C90" s="28">
        <f t="shared" si="2"/>
        <v>0.3125</v>
      </c>
      <c r="D90" s="31">
        <v>5600</v>
      </c>
      <c r="E90" s="29" t="s">
        <v>253</v>
      </c>
      <c r="F90" s="49">
        <v>42000</v>
      </c>
      <c r="G90" s="29">
        <v>1470</v>
      </c>
      <c r="H90" s="31">
        <f>IFERROR(Линия4[[#This Row],[Количество]]/Линия4[[#This Row],[Шт. в поддоне]], "")</f>
        <v>28.571428571428573</v>
      </c>
    </row>
    <row r="91" spans="1:8" ht="13.8" hidden="1" x14ac:dyDescent="0.25">
      <c r="A91" s="44">
        <f>B100</f>
        <v>46057.699404761908</v>
      </c>
      <c r="B91" s="45" t="e">
        <f>Линия4[[#This Row],[Дата начала]]+Линия4[[#This Row],[Длительность]]</f>
        <v>#VALUE!</v>
      </c>
      <c r="C91" s="33" t="str">
        <f t="shared" si="2"/>
        <v>Ошибка</v>
      </c>
      <c r="D91" s="88"/>
      <c r="E91" s="29"/>
      <c r="F91" s="49"/>
      <c r="G91" s="34"/>
      <c r="H91" s="46" t="str">
        <f>IFERROR(Линия4[[#This Row],[Количество]]/Линия4[[#This Row],[Шт. в поддоне]], "")</f>
        <v/>
      </c>
    </row>
    <row r="92" spans="1:8" ht="13.8" hidden="1" x14ac:dyDescent="0.25">
      <c r="A92" s="44" t="e">
        <f t="shared" ref="A92:A93" si="4">B91</f>
        <v>#VALUE!</v>
      </c>
      <c r="B92" s="90" t="e">
        <f>Линия4[[#This Row],[Дата начала]]+Линия4[[#This Row],[Длительность]]</f>
        <v>#VALUE!</v>
      </c>
      <c r="C92" s="91" t="str">
        <f t="shared" si="2"/>
        <v>Ошибка</v>
      </c>
      <c r="D92" s="92"/>
      <c r="E92" s="29"/>
      <c r="F92" s="49"/>
      <c r="G92" s="93"/>
      <c r="H92" s="96" t="str">
        <f>IFERROR(Линия4[[#This Row],[Количество]]/Линия4[[#This Row],[Шт. в поддоне]], "")</f>
        <v/>
      </c>
    </row>
    <row r="93" spans="1:8" ht="13.8" hidden="1" x14ac:dyDescent="0.25">
      <c r="A93" s="44" t="e">
        <f t="shared" si="4"/>
        <v>#VALUE!</v>
      </c>
      <c r="B93" s="90" t="e">
        <f>Линия4[[#This Row],[Дата начала]]+Линия4[[#This Row],[Длительность]]</f>
        <v>#VALUE!</v>
      </c>
      <c r="C93" s="91" t="str">
        <f t="shared" si="2"/>
        <v>Ошибка</v>
      </c>
      <c r="D93" s="92"/>
      <c r="E93" s="29"/>
      <c r="F93" s="49"/>
      <c r="G93" s="93"/>
      <c r="H93" s="96" t="str">
        <f>IFERROR(Линия4[[#This Row],[Количество]]/Линия4[[#This Row],[Шт. в поддоне]], "")</f>
        <v/>
      </c>
    </row>
    <row r="94" spans="1:8" ht="13.8" hidden="1" x14ac:dyDescent="0.25">
      <c r="A94" s="79">
        <v>46056.666666666664</v>
      </c>
      <c r="B94" s="79">
        <f>Линия4[[#This Row],[Дата начала]]+Линия4[[#This Row],[Длительность]]</f>
        <v>46056.889880952382</v>
      </c>
      <c r="C94" s="91">
        <f t="shared" si="2"/>
        <v>0.2232142857142857</v>
      </c>
      <c r="D94" s="92">
        <v>5600</v>
      </c>
      <c r="E94" s="57" t="s">
        <v>234</v>
      </c>
      <c r="F94" s="58">
        <v>30000</v>
      </c>
      <c r="G94" s="29">
        <v>1470</v>
      </c>
      <c r="H94" s="96">
        <f>IFERROR(Линия4[[#This Row],[Количество]]/Линия4[[#This Row],[Шт. в поддоне]], "")</f>
        <v>20.408163265306122</v>
      </c>
    </row>
    <row r="95" spans="1:8" ht="13.8" hidden="1" x14ac:dyDescent="0.25">
      <c r="A95" s="79">
        <f>B94</f>
        <v>46056.889880952382</v>
      </c>
      <c r="B95" s="79">
        <f>Линия4[[#This Row],[Дата начала]]+Линия4[[#This Row],[Длительность]]</f>
        <v>46057.028769841272</v>
      </c>
      <c r="C95" s="28">
        <f>IF(E95="Вытеснение",TIME(0,30,0),
IF(E95="Передача смены",TIME(0,20,0),
IF(E95="Запуск",TIME(0,30,0),
IF(E95="Смена ассортимента",TIME(0,15,0),
IF(E95="Переналадка формата",TIME(5,0,0),
IF(E95="CIP 1",TIME(2,30,0),
IF(E95="CIP 2",TIME(2,30,0),
IF(E95="CIP 3",TIME(3,20,0),
IF(AND(ISNUMBER(F95),ISNUMBER(D95),D95&gt;0),F95/D95/24,"Ошибка")))))))))</f>
        <v>0.1388888888888889</v>
      </c>
      <c r="D95" s="31"/>
      <c r="E95" s="29" t="s">
        <v>158</v>
      </c>
      <c r="F95" s="49"/>
      <c r="G95" s="29"/>
      <c r="H95" s="31" t="str">
        <f>IFERROR(Линия4[[#This Row],[Количество]]/Линия4[[#This Row],[Шт. в поддоне]], "")</f>
        <v/>
      </c>
    </row>
    <row r="96" spans="1:8" ht="13.8" hidden="1" x14ac:dyDescent="0.25">
      <c r="A96" s="79">
        <v>46057.166666666664</v>
      </c>
      <c r="B96" s="79">
        <f>Линия4[[#This Row],[Дата начала]]+Линия4[[#This Row],[Длительность]]</f>
        <v>46057.389880952382</v>
      </c>
      <c r="C96" s="28">
        <f t="shared" ref="C96:C101" si="5">IF(E96="Вытеснение",TIME(0,30,0),
IF(E96="Передача смены",TIME(0,20,0),
IF(E96="Запуск",TIME(0,30,0),
IF(E96="Смена ассортимента",TIME(0,15,0),
IF(E96="Переналадка формата",TIME(5,0,0),
IF(E96="CIP 1",TIME(2,30,0),
IF(E96="CIP 2",TIME(2,30,0),
IF(E96="CIP 3",TIME(3,20,0),
IF(AND(ISNUMBER(F96),ISNUMBER(D96),D96&gt;0),F96/D96/24,"Ошибка")))))))))</f>
        <v>0.2232142857142857</v>
      </c>
      <c r="D96" s="31">
        <v>5600</v>
      </c>
      <c r="E96" s="29" t="s">
        <v>246</v>
      </c>
      <c r="F96" s="49">
        <v>30000</v>
      </c>
      <c r="G96" s="29">
        <v>1470</v>
      </c>
      <c r="H96" s="31">
        <f>IFERROR(Линия4[[#This Row],[Количество]]/Линия4[[#This Row],[Шт. в поддоне]], "")</f>
        <v>20.408163265306122</v>
      </c>
    </row>
    <row r="97" spans="1:8" ht="13.8" hidden="1" x14ac:dyDescent="0.25">
      <c r="A97" s="79">
        <f t="shared" ref="A97:A100" si="6">B96</f>
        <v>46057.389880952382</v>
      </c>
      <c r="B97" s="79">
        <f>Линия4[[#This Row],[Дата начала]]+Линия4[[#This Row],[Длительность]]</f>
        <v>46057.410714285717</v>
      </c>
      <c r="C97" s="28">
        <f t="shared" si="5"/>
        <v>2.0833333333333332E-2</v>
      </c>
      <c r="D97" s="31"/>
      <c r="E97" s="29" t="s">
        <v>162</v>
      </c>
      <c r="F97" s="49"/>
      <c r="G97" s="29"/>
      <c r="H97" s="31" t="str">
        <f>IFERROR(Линия4[[#This Row],[Количество]]/Линия4[[#This Row],[Шт. в поддоне]], "")</f>
        <v/>
      </c>
    </row>
    <row r="98" spans="1:8" ht="13.8" hidden="1" x14ac:dyDescent="0.25">
      <c r="A98" s="79">
        <f t="shared" si="6"/>
        <v>46057.410714285717</v>
      </c>
      <c r="B98" s="79">
        <f>Линия4[[#This Row],[Дата начала]]+Линия4[[#This Row],[Длительность]]</f>
        <v>46057.544642857145</v>
      </c>
      <c r="C98" s="28">
        <f t="shared" si="5"/>
        <v>0.13392857142857142</v>
      </c>
      <c r="D98" s="31">
        <v>5600</v>
      </c>
      <c r="E98" s="29" t="s">
        <v>254</v>
      </c>
      <c r="F98" s="49">
        <v>18000</v>
      </c>
      <c r="G98" s="29">
        <v>1470</v>
      </c>
      <c r="H98" s="31">
        <f>IFERROR(Линия4[[#This Row],[Количество]]/Линия4[[#This Row],[Шт. в поддоне]], "")</f>
        <v>12.244897959183673</v>
      </c>
    </row>
    <row r="99" spans="1:8" ht="13.8" hidden="1" x14ac:dyDescent="0.25">
      <c r="A99" s="79">
        <f t="shared" si="6"/>
        <v>46057.544642857145</v>
      </c>
      <c r="B99" s="79">
        <f>Линия4[[#This Row],[Дата начала]]+Линия4[[#This Row],[Длительность]]</f>
        <v>46057.565476190481</v>
      </c>
      <c r="C99" s="28">
        <f t="shared" si="5"/>
        <v>2.0833333333333332E-2</v>
      </c>
      <c r="D99" s="31"/>
      <c r="E99" s="29" t="s">
        <v>162</v>
      </c>
      <c r="F99" s="49"/>
      <c r="G99" s="29"/>
      <c r="H99" s="31" t="str">
        <f>IFERROR(Линия4[[#This Row],[Количество]]/Линия4[[#This Row],[Шт. в поддоне]], "")</f>
        <v/>
      </c>
    </row>
    <row r="100" spans="1:8" ht="13.8" hidden="1" x14ac:dyDescent="0.25">
      <c r="A100" s="79">
        <f t="shared" si="6"/>
        <v>46057.565476190481</v>
      </c>
      <c r="B100" s="79">
        <f>Линия4[[#This Row],[Дата начала]]+Линия4[[#This Row],[Длительность]]</f>
        <v>46057.699404761908</v>
      </c>
      <c r="C100" s="28">
        <f t="shared" si="5"/>
        <v>0.13392857142857142</v>
      </c>
      <c r="D100" s="31">
        <v>5600</v>
      </c>
      <c r="E100" s="29" t="s">
        <v>255</v>
      </c>
      <c r="F100" s="49">
        <v>18000</v>
      </c>
      <c r="G100" s="29">
        <v>1470</v>
      </c>
      <c r="H100" s="31">
        <f>IFERROR(Линия4[[#This Row],[Количество]]/Линия4[[#This Row],[Шт. в поддоне]], "")</f>
        <v>12.244897959183673</v>
      </c>
    </row>
    <row r="101" spans="1:8" ht="13.8" hidden="1" x14ac:dyDescent="0.25">
      <c r="A101" s="79">
        <f>B100</f>
        <v>46057.699404761908</v>
      </c>
      <c r="B101" s="79">
        <f>Линия4[[#This Row],[Дата начала]]+Линия4[[#This Row],[Длительность]]</f>
        <v>46057.838293650799</v>
      </c>
      <c r="C101" s="28">
        <f t="shared" si="5"/>
        <v>0.1388888888888889</v>
      </c>
      <c r="D101" s="88"/>
      <c r="E101" s="29" t="s">
        <v>158</v>
      </c>
      <c r="F101" s="49"/>
      <c r="G101" s="34"/>
      <c r="H101" s="46" t="str">
        <f>IFERROR(Линия4[[#This Row],[Количество]]/Линия4[[#This Row],[Шт. в поддоне]], "")</f>
        <v/>
      </c>
    </row>
    <row r="102" spans="1:8" ht="13.8" hidden="1" x14ac:dyDescent="0.25">
      <c r="A102" s="75"/>
      <c r="B102" s="76"/>
      <c r="C102" s="36"/>
      <c r="D102" s="39"/>
      <c r="E102" s="38" t="s">
        <v>256</v>
      </c>
      <c r="F102" s="97"/>
      <c r="G102" s="38"/>
      <c r="H102" s="83" t="str">
        <f>IFERROR(Линия4[[#This Row],[Количество]]/Линия4[[#This Row],[Шт. в поддоне]], "")</f>
        <v/>
      </c>
    </row>
    <row r="103" spans="1:8" ht="27.6" hidden="1" x14ac:dyDescent="0.25">
      <c r="A103" s="70"/>
      <c r="B103" s="71"/>
      <c r="C103" s="33">
        <f>IF(E103="Вытеснение",TIME(0,30,0),
IF(E103="Передача смены",TIME(0,20,0),
IF(E103="Запуск",TIME(0,30,0),
IF(E103="Смена ассортимента",TIME(0,15,0),
IF(E103="Переналадка формата",TIME(5,0,0),
IF(E103="CIP 1",TIME(2,30,0),
IF(E103="CIP 2",TIME(2,30,0),
IF(E103="CIP 3",TIME(3,20,0),
IF(AND(ISNUMBER(F103),ISNUMBER(D103),D103&gt;0),F103/D103/24,"Ошибка")))))))))</f>
        <v>1.6666666666666667</v>
      </c>
      <c r="D103" s="88">
        <v>1000</v>
      </c>
      <c r="E103" s="98" t="s">
        <v>257</v>
      </c>
      <c r="F103" s="50">
        <v>40000</v>
      </c>
      <c r="G103" s="34"/>
      <c r="H103" s="46" t="str">
        <f>IFERROR(Линия4[[#This Row],[Количество]]/Линия4[[#This Row],[Шт. в поддоне]], "")</f>
        <v/>
      </c>
    </row>
    <row r="104" spans="1:8" ht="13.8" x14ac:dyDescent="0.25">
      <c r="A104" s="44">
        <f>'Линия 3'!B182</f>
        <v>46079.290132523827</v>
      </c>
      <c r="B104" s="45">
        <f>Линия4[[#This Row],[Дата начала]]+Линия4[[#This Row],[Длительность]]</f>
        <v>46079.394299190491</v>
      </c>
      <c r="C104" s="33">
        <f t="shared" ref="C104:C120" si="7">IF(E104="Вытеснение",TIME(0,30,0),
IF(E104="Передача смены",TIME(0,20,0),
IF(E104="Запуск",TIME(0,30,0),
IF(E104="Смена ассортимента",TIME(0,15,0),
IF(E104="Переналадка формата",TIME(5,0,0),
IF(E104="CIP 1",TIME(2,30,0),
IF(E104="CIP 2",TIME(2,30,0),
IF(E104="CIP 3",TIME(3,20,0),
IF(AND(ISNUMBER(F104),ISNUMBER(D104),D104&gt;0),F104/D104/24,"Ошибка")))))))))</f>
        <v>0.10416666666666667</v>
      </c>
      <c r="D104" s="88"/>
      <c r="E104" s="29" t="s">
        <v>153</v>
      </c>
      <c r="F104" s="49"/>
      <c r="G104" s="34"/>
      <c r="H104" s="46" t="str">
        <f>IFERROR(Линия4[[#This Row],[Количество]]/Линия4[[#This Row],[Шт. в поддоне]], "")</f>
        <v/>
      </c>
    </row>
    <row r="105" spans="1:8" ht="13.8" x14ac:dyDescent="0.25">
      <c r="A105" s="44">
        <f t="shared" ref="A105:A120" si="8">B104</f>
        <v>46079.394299190491</v>
      </c>
      <c r="B105" s="90">
        <f>Линия4[[#This Row],[Дата начала]]+Линия4[[#This Row],[Длительность]]</f>
        <v>46079.448986690491</v>
      </c>
      <c r="C105" s="91">
        <f t="shared" si="7"/>
        <v>5.46875E-2</v>
      </c>
      <c r="D105" s="92">
        <v>5600</v>
      </c>
      <c r="E105" s="29" t="s">
        <v>258</v>
      </c>
      <c r="F105" s="49">
        <v>7350</v>
      </c>
      <c r="G105" s="93">
        <v>1470</v>
      </c>
      <c r="H105" s="96">
        <f>IFERROR(Линия4[[#This Row],[Количество]]/Линия4[[#This Row],[Шт. в поддоне]], "")</f>
        <v>5</v>
      </c>
    </row>
    <row r="106" spans="1:8" ht="13.8" x14ac:dyDescent="0.25">
      <c r="A106" s="44">
        <f t="shared" si="8"/>
        <v>46079.448986690491</v>
      </c>
      <c r="B106" s="90">
        <f>Линия4[[#This Row],[Дата начала]]+Линия4[[#This Row],[Длительность]]</f>
        <v>46079.459403357156</v>
      </c>
      <c r="C106" s="91">
        <f t="shared" si="7"/>
        <v>1.0416666666666666E-2</v>
      </c>
      <c r="D106" s="92"/>
      <c r="E106" s="29" t="s">
        <v>180</v>
      </c>
      <c r="F106" s="49"/>
      <c r="G106" s="93"/>
      <c r="H106" s="96" t="str">
        <f>IFERROR(Линия4[[#This Row],[Количество]]/Линия4[[#This Row],[Шт. в поддоне]], "")</f>
        <v/>
      </c>
    </row>
    <row r="107" spans="1:8" ht="13.8" x14ac:dyDescent="0.25">
      <c r="A107" s="44">
        <f t="shared" si="8"/>
        <v>46079.459403357156</v>
      </c>
      <c r="B107" s="90">
        <f>Линия4[[#This Row],[Дата начала]]+Линия4[[#This Row],[Длительность]]</f>
        <v>46079.514090857156</v>
      </c>
      <c r="C107" s="91">
        <f t="shared" si="7"/>
        <v>5.46875E-2</v>
      </c>
      <c r="D107" s="92">
        <v>5600</v>
      </c>
      <c r="E107" s="29" t="s">
        <v>248</v>
      </c>
      <c r="F107" s="49">
        <v>7350</v>
      </c>
      <c r="G107" s="93">
        <v>1470</v>
      </c>
      <c r="H107" s="96">
        <f>IFERROR(Линия4[[#This Row],[Количество]]/Линия4[[#This Row],[Шт. в поддоне]], "")</f>
        <v>5</v>
      </c>
    </row>
    <row r="108" spans="1:8" ht="13.8" x14ac:dyDescent="0.25">
      <c r="A108" s="44">
        <f t="shared" si="8"/>
        <v>46079.514090857156</v>
      </c>
      <c r="B108" s="90">
        <f>Линия4[[#This Row],[Дата начала]]+Линия4[[#This Row],[Длительность]]</f>
        <v>46079.52450752382</v>
      </c>
      <c r="C108" s="91">
        <f t="shared" si="7"/>
        <v>1.0416666666666666E-2</v>
      </c>
      <c r="D108" s="92"/>
      <c r="E108" s="29" t="s">
        <v>180</v>
      </c>
      <c r="F108" s="49"/>
      <c r="G108" s="93"/>
      <c r="H108" s="96" t="str">
        <f>IFERROR(Линия4[[#This Row],[Количество]]/Линия4[[#This Row],[Шт. в поддоне]], "")</f>
        <v/>
      </c>
    </row>
    <row r="109" spans="1:8" ht="13.8" x14ac:dyDescent="0.25">
      <c r="A109" s="44">
        <f t="shared" si="8"/>
        <v>46079.52450752382</v>
      </c>
      <c r="B109" s="90">
        <f>Линия4[[#This Row],[Дата начала]]+Линия4[[#This Row],[Длительность]]</f>
        <v>46079.543034309536</v>
      </c>
      <c r="C109" s="91">
        <f t="shared" si="7"/>
        <v>1.8526785714285714E-2</v>
      </c>
      <c r="D109" s="92">
        <v>5600</v>
      </c>
      <c r="E109" s="29" t="s">
        <v>232</v>
      </c>
      <c r="F109" s="49">
        <v>2490</v>
      </c>
      <c r="G109" s="93">
        <v>1470</v>
      </c>
      <c r="H109" s="96">
        <f>IFERROR(Линия4[[#This Row],[Количество]]/Линия4[[#This Row],[Шт. в поддоне]], "")</f>
        <v>1.6938775510204083</v>
      </c>
    </row>
    <row r="110" spans="1:8" ht="13.8" x14ac:dyDescent="0.25">
      <c r="A110" s="44">
        <f t="shared" si="8"/>
        <v>46079.543034309536</v>
      </c>
      <c r="B110" s="90">
        <f>Линия4[[#This Row],[Дата начала]]+Линия4[[#This Row],[Длительность]]</f>
        <v>46079.5534509762</v>
      </c>
      <c r="C110" s="91">
        <f t="shared" si="7"/>
        <v>1.0416666666666666E-2</v>
      </c>
      <c r="D110" s="92"/>
      <c r="E110" s="29" t="s">
        <v>180</v>
      </c>
      <c r="F110" s="49"/>
      <c r="G110" s="93"/>
      <c r="H110" s="96" t="str">
        <f>IFERROR(Линия4[[#This Row],[Количество]]/Линия4[[#This Row],[Шт. в поддоне]], "")</f>
        <v/>
      </c>
    </row>
    <row r="111" spans="1:8" ht="13.8" x14ac:dyDescent="0.25">
      <c r="A111" s="44">
        <f t="shared" si="8"/>
        <v>46079.5534509762</v>
      </c>
      <c r="B111" s="90">
        <f>Линия4[[#This Row],[Дата начала]]+Линия4[[#This Row],[Длительность]]</f>
        <v>46079.6628259762</v>
      </c>
      <c r="C111" s="91">
        <f t="shared" si="7"/>
        <v>0.109375</v>
      </c>
      <c r="D111" s="92">
        <v>5600</v>
      </c>
      <c r="E111" s="29" t="s">
        <v>231</v>
      </c>
      <c r="F111" s="49">
        <v>14700</v>
      </c>
      <c r="G111" s="93">
        <v>1470</v>
      </c>
      <c r="H111" s="96">
        <f>IFERROR(Линия4[[#This Row],[Количество]]/Линия4[[#This Row],[Шт. в поддоне]], "")</f>
        <v>10</v>
      </c>
    </row>
    <row r="112" spans="1:8" ht="13.8" x14ac:dyDescent="0.25">
      <c r="A112" s="44">
        <f t="shared" si="8"/>
        <v>46079.6628259762</v>
      </c>
      <c r="B112" s="90">
        <f>Линия4[[#This Row],[Дата начала]]+Линия4[[#This Row],[Длительность]]</f>
        <v>46079.673242642864</v>
      </c>
      <c r="C112" s="91">
        <f t="shared" si="7"/>
        <v>1.0416666666666666E-2</v>
      </c>
      <c r="D112" s="92"/>
      <c r="E112" s="29" t="s">
        <v>180</v>
      </c>
      <c r="F112" s="49"/>
      <c r="G112" s="93"/>
      <c r="H112" s="96" t="str">
        <f>IFERROR(Линия4[[#This Row],[Количество]]/Линия4[[#This Row],[Шт. в поддоне]], "")</f>
        <v/>
      </c>
    </row>
    <row r="113" spans="1:8" ht="13.8" x14ac:dyDescent="0.25">
      <c r="A113" s="44">
        <f t="shared" si="8"/>
        <v>46079.673242642864</v>
      </c>
      <c r="B113" s="90">
        <f>Линия4[[#This Row],[Дата начала]]+Линия4[[#This Row],[Длительность]]</f>
        <v>46079.8815759762</v>
      </c>
      <c r="C113" s="91">
        <f t="shared" si="7"/>
        <v>0.20833333333333334</v>
      </c>
      <c r="D113" s="92">
        <v>5600</v>
      </c>
      <c r="E113" s="29" t="s">
        <v>234</v>
      </c>
      <c r="F113" s="49">
        <v>28000</v>
      </c>
      <c r="G113" s="93">
        <v>1470</v>
      </c>
      <c r="H113" s="96">
        <f>IFERROR(Линия4[[#This Row],[Количество]]/Линия4[[#This Row],[Шт. в поддоне]], "")</f>
        <v>19.047619047619047</v>
      </c>
    </row>
    <row r="114" spans="1:8" ht="13.8" x14ac:dyDescent="0.25">
      <c r="A114" s="44">
        <f t="shared" si="8"/>
        <v>46079.8815759762</v>
      </c>
      <c r="B114" s="90">
        <f>Линия4[[#This Row],[Дата начала]]+Линия4[[#This Row],[Длительность]]</f>
        <v>46079.985742642864</v>
      </c>
      <c r="C114" s="91">
        <f t="shared" si="7"/>
        <v>0.10416666666666667</v>
      </c>
      <c r="D114" s="92"/>
      <c r="E114" s="29" t="s">
        <v>153</v>
      </c>
      <c r="F114" s="49"/>
      <c r="G114" s="93"/>
      <c r="H114" s="96" t="str">
        <f>IFERROR(Линия4[[#This Row],[Количество]]/Линия4[[#This Row],[Шт. в поддоне]], "")</f>
        <v/>
      </c>
    </row>
    <row r="115" spans="1:8" ht="13.8" x14ac:dyDescent="0.25">
      <c r="A115" s="44">
        <f t="shared" si="8"/>
        <v>46079.985742642864</v>
      </c>
      <c r="B115" s="90">
        <f>Линия4[[#This Row],[Дата начала]]+Линия4[[#This Row],[Длительность]]</f>
        <v>46080.040430142864</v>
      </c>
      <c r="C115" s="91">
        <f t="shared" si="7"/>
        <v>5.46875E-2</v>
      </c>
      <c r="D115" s="92">
        <v>5600</v>
      </c>
      <c r="E115" s="29" t="s">
        <v>259</v>
      </c>
      <c r="F115" s="49">
        <v>7350</v>
      </c>
      <c r="G115" s="93">
        <v>1470</v>
      </c>
      <c r="H115" s="96">
        <f>IFERROR(Линия4[[#This Row],[Количество]]/Линия4[[#This Row],[Шт. в поддоне]], "")</f>
        <v>5</v>
      </c>
    </row>
    <row r="116" spans="1:8" ht="13.8" x14ac:dyDescent="0.25">
      <c r="A116" s="44">
        <f t="shared" si="8"/>
        <v>46080.040430142864</v>
      </c>
      <c r="B116" s="90">
        <f>Линия4[[#This Row],[Дата начала]]+Линия4[[#This Row],[Длительность]]</f>
        <v>46080.050846809529</v>
      </c>
      <c r="C116" s="91">
        <f t="shared" si="7"/>
        <v>1.0416666666666666E-2</v>
      </c>
      <c r="D116" s="92"/>
      <c r="E116" s="29" t="s">
        <v>180</v>
      </c>
      <c r="F116" s="49"/>
      <c r="G116" s="93"/>
      <c r="H116" s="96" t="str">
        <f>IFERROR(Линия4[[#This Row],[Количество]]/Линия4[[#This Row],[Шт. в поддоне]], "")</f>
        <v/>
      </c>
    </row>
    <row r="117" spans="1:8" ht="13.8" x14ac:dyDescent="0.25">
      <c r="A117" s="44">
        <f t="shared" si="8"/>
        <v>46080.050846809529</v>
      </c>
      <c r="B117" s="90">
        <f>Линия4[[#This Row],[Дата начала]]+Линия4[[#This Row],[Длительность]]</f>
        <v>46080.105534309529</v>
      </c>
      <c r="C117" s="91">
        <f t="shared" si="7"/>
        <v>5.46875E-2</v>
      </c>
      <c r="D117" s="92">
        <v>5600</v>
      </c>
      <c r="E117" s="29" t="s">
        <v>260</v>
      </c>
      <c r="F117" s="49">
        <v>7350</v>
      </c>
      <c r="G117" s="93">
        <v>1470</v>
      </c>
      <c r="H117" s="96">
        <f>IFERROR(Линия4[[#This Row],[Количество]]/Линия4[[#This Row],[Шт. в поддоне]], "")</f>
        <v>5</v>
      </c>
    </row>
    <row r="118" spans="1:8" ht="13.8" x14ac:dyDescent="0.25">
      <c r="A118" s="44">
        <f t="shared" si="8"/>
        <v>46080.105534309529</v>
      </c>
      <c r="B118" s="90">
        <f>Линия4[[#This Row],[Дата начала]]+Линия4[[#This Row],[Длительность]]</f>
        <v>46080.115950976193</v>
      </c>
      <c r="C118" s="91">
        <f t="shared" si="7"/>
        <v>1.0416666666666666E-2</v>
      </c>
      <c r="D118" s="92"/>
      <c r="E118" s="29" t="s">
        <v>180</v>
      </c>
      <c r="F118" s="49"/>
      <c r="G118" s="93"/>
      <c r="H118" s="96" t="str">
        <f>IFERROR(Линия4[[#This Row],[Количество]]/Линия4[[#This Row],[Шт. в поддоне]], "")</f>
        <v/>
      </c>
    </row>
    <row r="119" spans="1:8" ht="13.8" x14ac:dyDescent="0.25">
      <c r="A119" s="44">
        <f t="shared" si="8"/>
        <v>46080.115950976193</v>
      </c>
      <c r="B119" s="90">
        <f>Линия4[[#This Row],[Дата начала]]+Линия4[[#This Row],[Длительность]]</f>
        <v>46080.225325976193</v>
      </c>
      <c r="C119" s="91">
        <f t="shared" si="7"/>
        <v>0.109375</v>
      </c>
      <c r="D119" s="92">
        <v>5600</v>
      </c>
      <c r="E119" s="29" t="s">
        <v>253</v>
      </c>
      <c r="F119" s="49">
        <v>14700</v>
      </c>
      <c r="G119" s="93">
        <v>1470</v>
      </c>
      <c r="H119" s="96">
        <f>IFERROR(Линия4[[#This Row],[Количество]]/Линия4[[#This Row],[Шт. в поддоне]], "")</f>
        <v>10</v>
      </c>
    </row>
    <row r="120" spans="1:8" ht="13.8" x14ac:dyDescent="0.25">
      <c r="A120" s="44">
        <f t="shared" si="8"/>
        <v>46080.225325976193</v>
      </c>
      <c r="B120" s="90">
        <f>Линия4[[#This Row],[Дата начала]]+Линия4[[#This Row],[Длительность]]</f>
        <v>46080.364214865083</v>
      </c>
      <c r="C120" s="91">
        <f t="shared" si="7"/>
        <v>0.1388888888888889</v>
      </c>
      <c r="D120" s="92"/>
      <c r="E120" s="34" t="s">
        <v>158</v>
      </c>
      <c r="F120" s="50"/>
      <c r="G120" s="93"/>
      <c r="H120" s="96" t="str">
        <f>IFERROR(Линия4[[#This Row],[Количество]]/Линия4[[#This Row],[Шт. в поддоне]], "")</f>
        <v/>
      </c>
    </row>
    <row r="121" spans="1:8" ht="13.8" x14ac:dyDescent="0.25">
      <c r="A121" s="59"/>
      <c r="B121" s="60"/>
      <c r="C121" s="36"/>
      <c r="D121" s="39"/>
      <c r="E121" s="38" t="s">
        <v>256</v>
      </c>
      <c r="F121" s="97"/>
      <c r="G121" s="38"/>
      <c r="H121" s="83" t="str">
        <f>IFERROR(Линия4[[#This Row],[Количество]]/Линия4[[#This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5C7-3654-44E1-9EDA-550C6A92350A}">
  <sheetPr codeName="Лист5">
    <pageSetUpPr fitToPage="1"/>
  </sheetPr>
  <dimension ref="A1:I197"/>
  <sheetViews>
    <sheetView zoomScaleNormal="100" workbookViewId="0">
      <selection activeCell="E202" sqref="E202"/>
    </sheetView>
  </sheetViews>
  <sheetFormatPr defaultColWidth="8.69921875" defaultRowHeight="13.2" x14ac:dyDescent="0.25"/>
  <cols>
    <col min="1" max="1" width="16" style="85" customWidth="1"/>
    <col min="2" max="2" width="16.19921875" style="85" customWidth="1"/>
    <col min="3" max="3" width="14.69921875" style="107" bestFit="1" customWidth="1"/>
    <col min="4" max="4" width="10.09765625" style="85" bestFit="1" customWidth="1"/>
    <col min="5" max="5" width="57.59765625" style="85" bestFit="1" customWidth="1"/>
    <col min="6" max="6" width="12.69921875" style="85" customWidth="1"/>
    <col min="7" max="7" width="14.69921875" style="100" customWidth="1"/>
    <col min="8" max="8" width="17.59765625" style="85" customWidth="1"/>
    <col min="9" max="9" width="48.8984375" style="100" customWidth="1"/>
    <col min="10" max="11" width="8.69921875" style="85"/>
    <col min="12" max="12" width="45.19921875" style="85" customWidth="1"/>
    <col min="13" max="16384" width="8.69921875" style="85"/>
  </cols>
  <sheetData>
    <row r="1" spans="1:8" ht="20.399999999999999" x14ac:dyDescent="0.35">
      <c r="A1" s="165" t="s">
        <v>261</v>
      </c>
      <c r="B1" s="165"/>
      <c r="C1" s="165"/>
      <c r="D1" s="165"/>
      <c r="E1" s="165"/>
      <c r="F1" s="165"/>
      <c r="G1" s="165"/>
      <c r="H1" s="165"/>
    </row>
    <row r="2" spans="1:8" ht="13.8" x14ac:dyDescent="0.25">
      <c r="A2" s="101" t="s">
        <v>145</v>
      </c>
      <c r="B2" s="102" t="s">
        <v>146</v>
      </c>
      <c r="C2" s="103" t="s">
        <v>147</v>
      </c>
      <c r="D2" s="104" t="s">
        <v>148</v>
      </c>
      <c r="E2" s="104" t="s">
        <v>149</v>
      </c>
      <c r="F2" s="104" t="s">
        <v>150</v>
      </c>
      <c r="G2" s="104" t="s">
        <v>151</v>
      </c>
      <c r="H2" s="105" t="s">
        <v>152</v>
      </c>
    </row>
    <row r="3" spans="1:8" ht="13.8" hidden="1" x14ac:dyDescent="0.25">
      <c r="A3" s="44">
        <v>46056.416666666664</v>
      </c>
      <c r="B3" s="47">
        <f>IFERROR(IF(OR(Линия5[[#This Row],[Дата начала]]="", Линия5[[#This Row],[Длительность]]=""), 1/0, Линия5[[#This Row],[Дата начала]]+Линия5[[#This Row],[Длительность]]), "")</f>
        <v>46056.589080459766</v>
      </c>
      <c r="C3" s="28">
        <f t="shared" ref="C3:C66" si="0">IF(E3="Вытеснение",TIME(0,30,0),
IF(E3="Передача смены",TIME(0,20,0),
IF(E3="Запуск",TIME(0,30,0),
IF(E3="Смена ассортимента",TIME(0,15,0),
IF(E3="Переналадка формата",TIME(5,0,0),
IF(E3="CIP 1",TIME(0,20,0),
IF(E3="CIP 2",TIME(1,30,0),
IF(E3="CIP 3",TIME(3,20,0),
IF(AND(ISNUMBER(F3),ISNUMBER(D3),D3&gt;0),F3/D3/24,"Ошибка")))))))))</f>
        <v>0.17241379310344829</v>
      </c>
      <c r="D3" s="29">
        <v>2900</v>
      </c>
      <c r="E3" s="29" t="s">
        <v>262</v>
      </c>
      <c r="F3" s="29">
        <v>12000</v>
      </c>
      <c r="G3" s="29">
        <v>1368</v>
      </c>
      <c r="H3" s="48">
        <f>IFERROR(Линия5[[#This Row],[Количество]]/Линия5[[#This Row],[Шт. в поддоне]], "")</f>
        <v>8.7719298245614041</v>
      </c>
    </row>
    <row r="4" spans="1:8" ht="13.8" hidden="1" x14ac:dyDescent="0.25">
      <c r="A4" s="44">
        <f t="shared" ref="A4:A67" si="1">B3</f>
        <v>46056.589080459766</v>
      </c>
      <c r="B4" s="47">
        <f>IFERROR(IF(OR(Линия5[[#This Row],[Дата начала]]="", Линия5[[#This Row],[Длительность]]=""), 1/0, Линия5[[#This Row],[Дата начала]]+Линия5[[#This Row],[Длительность]]), "")</f>
        <v>46056.602969348656</v>
      </c>
      <c r="C4" s="28">
        <f t="shared" si="0"/>
        <v>1.3888888888888888E-2</v>
      </c>
      <c r="D4" s="29"/>
      <c r="E4" s="29" t="s">
        <v>197</v>
      </c>
      <c r="F4" s="29"/>
      <c r="G4" s="29"/>
      <c r="H4" s="48" t="str">
        <f>IFERROR(Линия5[[#This Row],[Количество]]/Линия5[[#This Row],[Шт. в поддоне]], "")</f>
        <v/>
      </c>
    </row>
    <row r="5" spans="1:8" ht="13.8" hidden="1" x14ac:dyDescent="0.25">
      <c r="A5" s="44">
        <f t="shared" si="1"/>
        <v>46056.602969348656</v>
      </c>
      <c r="B5" s="47">
        <f>IFERROR(IF(OR(Линия5[[#This Row],[Дата начала]]="", Линия5[[#This Row],[Длительность]]=""), 1/0, Линия5[[#This Row],[Дата начала]]+Линия5[[#This Row],[Длительность]]), "")</f>
        <v>46056.689176245207</v>
      </c>
      <c r="C5" s="28">
        <f t="shared" si="0"/>
        <v>8.6206896551724144E-2</v>
      </c>
      <c r="D5" s="29">
        <v>2900</v>
      </c>
      <c r="E5" s="29" t="s">
        <v>263</v>
      </c>
      <c r="F5" s="29">
        <v>6000</v>
      </c>
      <c r="G5" s="29">
        <v>1368</v>
      </c>
      <c r="H5" s="48">
        <f>IFERROR(Линия5[[#This Row],[Количество]]/Линия5[[#This Row],[Шт. в поддоне]], "")</f>
        <v>4.3859649122807021</v>
      </c>
    </row>
    <row r="6" spans="1:8" ht="13.8" hidden="1" x14ac:dyDescent="0.25">
      <c r="A6" s="44">
        <f t="shared" si="1"/>
        <v>46056.689176245207</v>
      </c>
      <c r="B6" s="47">
        <f>IFERROR(IF(OR(Линия5[[#This Row],[Дата начала]]="", Линия5[[#This Row],[Длительность]]=""), 1/0, Линия5[[#This Row],[Дата начала]]+Линия5[[#This Row],[Длительность]]), "")</f>
        <v>46056.703065134097</v>
      </c>
      <c r="C6" s="28">
        <f t="shared" si="0"/>
        <v>1.3888888888888888E-2</v>
      </c>
      <c r="D6" s="29"/>
      <c r="E6" s="29" t="s">
        <v>197</v>
      </c>
      <c r="F6" s="29"/>
      <c r="G6" s="29"/>
      <c r="H6" s="48" t="str">
        <f>IFERROR(Линия5[[#This Row],[Количество]]/Линия5[[#This Row],[Шт. в поддоне]], "")</f>
        <v/>
      </c>
    </row>
    <row r="7" spans="1:8" ht="13.8" hidden="1" x14ac:dyDescent="0.25">
      <c r="A7" s="44">
        <f t="shared" si="1"/>
        <v>46056.703065134097</v>
      </c>
      <c r="B7" s="47">
        <f>IFERROR(IF(OR(Линия5[[#This Row],[Дата начала]]="", Линия5[[#This Row],[Длительность]]=""), 1/0, Линия5[[#This Row],[Дата начала]]+Линия5[[#This Row],[Длительность]]), "")</f>
        <v>46056.789272030648</v>
      </c>
      <c r="C7" s="28">
        <f t="shared" si="0"/>
        <v>8.6206896551724144E-2</v>
      </c>
      <c r="D7" s="29">
        <v>2900</v>
      </c>
      <c r="E7" s="29" t="s">
        <v>264</v>
      </c>
      <c r="F7" s="29">
        <v>6000</v>
      </c>
      <c r="G7" s="29">
        <v>1368</v>
      </c>
      <c r="H7" s="48">
        <f>IFERROR(Линия5[[#This Row],[Количество]]/Линия5[[#This Row],[Шт. в поддоне]], "")</f>
        <v>4.3859649122807021</v>
      </c>
    </row>
    <row r="8" spans="1:8" ht="13.8" hidden="1" x14ac:dyDescent="0.25">
      <c r="A8" s="44">
        <f t="shared" si="1"/>
        <v>46056.789272030648</v>
      </c>
      <c r="B8" s="47">
        <f>IFERROR(IF(OR(Линия5[[#This Row],[Дата начала]]="", Линия5[[#This Row],[Длительность]]=""), 1/0, Линия5[[#This Row],[Дата начала]]+Линия5[[#This Row],[Длительность]]), "")</f>
        <v>46056.803160919539</v>
      </c>
      <c r="C8" s="28">
        <f t="shared" si="0"/>
        <v>1.3888888888888888E-2</v>
      </c>
      <c r="D8" s="29"/>
      <c r="E8" s="29" t="s">
        <v>197</v>
      </c>
      <c r="F8" s="29"/>
      <c r="G8" s="29"/>
      <c r="H8" s="48" t="str">
        <f>IFERROR(Линия5[[#This Row],[Количество]]/Линия5[[#This Row],[Шт. в поддоне]], "")</f>
        <v/>
      </c>
    </row>
    <row r="9" spans="1:8" ht="13.8" hidden="1" x14ac:dyDescent="0.25">
      <c r="A9" s="44">
        <f t="shared" si="1"/>
        <v>46056.803160919539</v>
      </c>
      <c r="B9" s="47">
        <f>IFERROR(IF(OR(Линия5[[#This Row],[Дата начала]]="", Линия5[[#This Row],[Длительность]]=""), 1/0, Линия5[[#This Row],[Дата начала]]+Линия5[[#This Row],[Длительность]]), "")</f>
        <v>46056.889367816089</v>
      </c>
      <c r="C9" s="28">
        <f t="shared" si="0"/>
        <v>8.6206896551724144E-2</v>
      </c>
      <c r="D9" s="29">
        <v>2900</v>
      </c>
      <c r="E9" s="29" t="s">
        <v>265</v>
      </c>
      <c r="F9" s="29">
        <v>6000</v>
      </c>
      <c r="G9" s="29">
        <v>1368</v>
      </c>
      <c r="H9" s="48">
        <f>IFERROR(Линия5[[#This Row],[Количество]]/Линия5[[#This Row],[Шт. в поддоне]], "")</f>
        <v>4.3859649122807021</v>
      </c>
    </row>
    <row r="10" spans="1:8" ht="13.8" hidden="1" x14ac:dyDescent="0.25">
      <c r="A10" s="44">
        <f t="shared" si="1"/>
        <v>46056.889367816089</v>
      </c>
      <c r="B10" s="47">
        <f>IFERROR(IF(OR(Линия5[[#This Row],[Дата начала]]="", Линия5[[#This Row],[Длительность]]=""), 1/0, Линия5[[#This Row],[Дата начала]]+Линия5[[#This Row],[Длительность]]), "")</f>
        <v>46056.90325670498</v>
      </c>
      <c r="C10" s="28">
        <f t="shared" si="0"/>
        <v>1.3888888888888888E-2</v>
      </c>
      <c r="D10" s="29"/>
      <c r="E10" s="29" t="s">
        <v>197</v>
      </c>
      <c r="F10" s="29"/>
      <c r="G10" s="29"/>
      <c r="H10" s="48" t="str">
        <f>IFERROR(Линия5[[#This Row],[Количество]]/Линия5[[#This Row],[Шт. в поддоне]], "")</f>
        <v/>
      </c>
    </row>
    <row r="11" spans="1:8" ht="13.8" hidden="1" x14ac:dyDescent="0.25">
      <c r="A11" s="44">
        <f t="shared" si="1"/>
        <v>46056.90325670498</v>
      </c>
      <c r="B11" s="47">
        <f>IFERROR(IF(OR(Линия5[[#This Row],[Дата начала]]="", Линия5[[#This Row],[Длительность]]=""), 1/0, Линия5[[#This Row],[Дата начала]]+Линия5[[#This Row],[Длительность]]), "")</f>
        <v>46057.075670498081</v>
      </c>
      <c r="C11" s="28">
        <f t="shared" si="0"/>
        <v>0.17241379310344829</v>
      </c>
      <c r="D11" s="29">
        <v>2900</v>
      </c>
      <c r="E11" s="29" t="s">
        <v>266</v>
      </c>
      <c r="F11" s="29">
        <v>12000</v>
      </c>
      <c r="G11" s="29">
        <v>1368</v>
      </c>
      <c r="H11" s="48">
        <f>IFERROR(Линия5[[#This Row],[Количество]]/Линия5[[#This Row],[Шт. в поддоне]], "")</f>
        <v>8.7719298245614041</v>
      </c>
    </row>
    <row r="12" spans="1:8" ht="13.8" hidden="1" x14ac:dyDescent="0.25">
      <c r="A12" s="44">
        <f t="shared" si="1"/>
        <v>46057.075670498081</v>
      </c>
      <c r="B12" s="47">
        <f>IFERROR(IF(OR(Линия5[[#This Row],[Дата начала]]="", Линия5[[#This Row],[Длительность]]=""), 1/0, Линия5[[#This Row],[Дата начала]]+Линия5[[#This Row],[Длительность]]), "")</f>
        <v>46057.138170498081</v>
      </c>
      <c r="C12" s="28">
        <f t="shared" si="0"/>
        <v>6.25E-2</v>
      </c>
      <c r="D12" s="29"/>
      <c r="E12" s="29" t="s">
        <v>153</v>
      </c>
      <c r="F12" s="29"/>
      <c r="G12" s="29"/>
      <c r="H12" s="48" t="str">
        <f>IFERROR(Линия5[[#This Row],[Количество]]/Линия5[[#This Row],[Шт. в поддоне]], "")</f>
        <v/>
      </c>
    </row>
    <row r="13" spans="1:8" ht="13.8" hidden="1" x14ac:dyDescent="0.25">
      <c r="A13" s="44">
        <f t="shared" si="1"/>
        <v>46057.138170498081</v>
      </c>
      <c r="B13" s="47">
        <f>IFERROR(IF(OR(Линия5[[#This Row],[Дата начала]]="", Линия5[[#This Row],[Длительность]]=""), 1/0, Линия5[[#This Row],[Дата начала]]+Линия5[[#This Row],[Длительность]]), "")</f>
        <v>46057.224377394632</v>
      </c>
      <c r="C13" s="28">
        <f t="shared" si="0"/>
        <v>8.6206896551724144E-2</v>
      </c>
      <c r="D13" s="29">
        <v>2900</v>
      </c>
      <c r="E13" s="29" t="s">
        <v>267</v>
      </c>
      <c r="F13" s="29">
        <v>6000</v>
      </c>
      <c r="G13" s="29">
        <v>1368</v>
      </c>
      <c r="H13" s="48">
        <f>IFERROR(Линия5[[#This Row],[Количество]]/Линия5[[#This Row],[Шт. в поддоне]], "")</f>
        <v>4.3859649122807021</v>
      </c>
    </row>
    <row r="14" spans="1:8" ht="13.8" hidden="1" x14ac:dyDescent="0.25">
      <c r="A14" s="44">
        <f t="shared" si="1"/>
        <v>46057.224377394632</v>
      </c>
      <c r="B14" s="47">
        <f>IFERROR(IF(OR(Линия5[[#This Row],[Дата начала]]="", Линия5[[#This Row],[Длительность]]=""), 1/0, Линия5[[#This Row],[Дата начала]]+Линия5[[#This Row],[Длительность]]), "")</f>
        <v>46057.238266283523</v>
      </c>
      <c r="C14" s="28">
        <f t="shared" si="0"/>
        <v>1.3888888888888888E-2</v>
      </c>
      <c r="D14" s="29"/>
      <c r="E14" s="29" t="s">
        <v>197</v>
      </c>
      <c r="F14" s="29"/>
      <c r="G14" s="29"/>
      <c r="H14" s="48" t="str">
        <f>IFERROR(Линия5[[#This Row],[Количество]]/Линия5[[#This Row],[Шт. в поддоне]], "")</f>
        <v/>
      </c>
    </row>
    <row r="15" spans="1:8" ht="13.8" hidden="1" x14ac:dyDescent="0.25">
      <c r="A15" s="44">
        <f t="shared" si="1"/>
        <v>46057.238266283523</v>
      </c>
      <c r="B15" s="47">
        <f>IFERROR(IF(OR(Линия5[[#This Row],[Дата начала]]="", Линия5[[#This Row],[Длительность]]=""), 1/0, Линия5[[#This Row],[Дата начала]]+Линия5[[#This Row],[Длительность]]), "")</f>
        <v>46057.281369731798</v>
      </c>
      <c r="C15" s="28">
        <f t="shared" si="0"/>
        <v>4.3103448275862072E-2</v>
      </c>
      <c r="D15" s="29">
        <v>2900</v>
      </c>
      <c r="E15" s="29" t="s">
        <v>268</v>
      </c>
      <c r="F15" s="29">
        <v>3000</v>
      </c>
      <c r="G15" s="29">
        <v>1368</v>
      </c>
      <c r="H15" s="48">
        <f>IFERROR(Линия5[[#This Row],[Количество]]/Линия5[[#This Row],[Шт. в поддоне]], "")</f>
        <v>2.192982456140351</v>
      </c>
    </row>
    <row r="16" spans="1:8" ht="13.8" hidden="1" x14ac:dyDescent="0.25">
      <c r="A16" s="44">
        <f t="shared" si="1"/>
        <v>46057.281369731798</v>
      </c>
      <c r="B16" s="47">
        <f>IFERROR(IF(OR(Линия5[[#This Row],[Дата начала]]="", Линия5[[#This Row],[Длительность]]=""), 1/0, Линия5[[#This Row],[Дата начала]]+Линия5[[#This Row],[Длительность]]), "")</f>
        <v>46057.343869731798</v>
      </c>
      <c r="C16" s="28">
        <f t="shared" si="0"/>
        <v>6.25E-2</v>
      </c>
      <c r="D16" s="29"/>
      <c r="E16" s="29" t="s">
        <v>153</v>
      </c>
      <c r="F16" s="29"/>
      <c r="G16" s="29"/>
      <c r="H16" s="48" t="str">
        <f>IFERROR(Линия5[[#This Row],[Количество]]/Линия5[[#This Row],[Шт. в поддоне]], "")</f>
        <v/>
      </c>
    </row>
    <row r="17" spans="1:8" ht="13.8" hidden="1" x14ac:dyDescent="0.25">
      <c r="A17" s="44">
        <f t="shared" si="1"/>
        <v>46057.343869731798</v>
      </c>
      <c r="B17" s="47">
        <f>IFERROR(IF(OR(Линия5[[#This Row],[Дата начала]]="", Линия5[[#This Row],[Длительность]]=""), 1/0, Линия5[[#This Row],[Дата начала]]+Линия5[[#This Row],[Длительность]]), "")</f>
        <v>46057.430076628349</v>
      </c>
      <c r="C17" s="28">
        <f t="shared" si="0"/>
        <v>8.6206896551724144E-2</v>
      </c>
      <c r="D17" s="29">
        <v>2900</v>
      </c>
      <c r="E17" s="29" t="s">
        <v>269</v>
      </c>
      <c r="F17" s="29">
        <v>6000</v>
      </c>
      <c r="G17" s="29">
        <v>1368</v>
      </c>
      <c r="H17" s="48">
        <f>IFERROR(Линия5[[#This Row],[Количество]]/Линия5[[#This Row],[Шт. в поддоне]], "")</f>
        <v>4.3859649122807021</v>
      </c>
    </row>
    <row r="18" spans="1:8" ht="13.8" hidden="1" x14ac:dyDescent="0.25">
      <c r="A18" s="44">
        <f t="shared" si="1"/>
        <v>46057.430076628349</v>
      </c>
      <c r="B18" s="47">
        <f>IFERROR(IF(OR(Линия5[[#This Row],[Дата начала]]="", Линия5[[#This Row],[Длительность]]=""), 1/0, Линия5[[#This Row],[Дата начала]]+Линия5[[#This Row],[Длительность]]), "")</f>
        <v>46057.443965517239</v>
      </c>
      <c r="C18" s="28">
        <f t="shared" si="0"/>
        <v>1.3888888888888888E-2</v>
      </c>
      <c r="D18" s="29"/>
      <c r="E18" s="29" t="s">
        <v>197</v>
      </c>
      <c r="F18" s="29"/>
      <c r="G18" s="29"/>
      <c r="H18" s="48" t="str">
        <f>IFERROR(Линия5[[#This Row],[Количество]]/Линия5[[#This Row],[Шт. в поддоне]], "")</f>
        <v/>
      </c>
    </row>
    <row r="19" spans="1:8" ht="13.8" hidden="1" x14ac:dyDescent="0.25">
      <c r="A19" s="44">
        <f t="shared" si="1"/>
        <v>46057.443965517239</v>
      </c>
      <c r="B19" s="47">
        <f>IFERROR(IF(OR(Линия5[[#This Row],[Дата начала]]="", Линия5[[#This Row],[Длительность]]=""), 1/0, Линия5[[#This Row],[Дата начала]]+Линия5[[#This Row],[Длительность]]), "")</f>
        <v>46057.53017241379</v>
      </c>
      <c r="C19" s="28">
        <f t="shared" si="0"/>
        <v>8.6206896551724144E-2</v>
      </c>
      <c r="D19" s="29">
        <v>2900</v>
      </c>
      <c r="E19" s="29" t="s">
        <v>270</v>
      </c>
      <c r="F19" s="29">
        <v>6000</v>
      </c>
      <c r="G19" s="29">
        <v>1368</v>
      </c>
      <c r="H19" s="48">
        <f>IFERROR(Линия5[[#This Row],[Количество]]/Линия5[[#This Row],[Шт. в поддоне]], "")</f>
        <v>4.3859649122807021</v>
      </c>
    </row>
    <row r="20" spans="1:8" ht="13.8" hidden="1" x14ac:dyDescent="0.25">
      <c r="A20" s="44">
        <f t="shared" si="1"/>
        <v>46057.53017241379</v>
      </c>
      <c r="B20" s="47">
        <f>IFERROR(IF(OR(Линия5[[#This Row],[Дата начала]]="", Линия5[[#This Row],[Длительность]]=""), 1/0, Линия5[[#This Row],[Дата начала]]+Линия5[[#This Row],[Длительность]]), "")</f>
        <v>46057.59267241379</v>
      </c>
      <c r="C20" s="28">
        <f t="shared" si="0"/>
        <v>6.25E-2</v>
      </c>
      <c r="D20" s="29"/>
      <c r="E20" s="29" t="s">
        <v>153</v>
      </c>
      <c r="F20" s="29"/>
      <c r="G20" s="29"/>
      <c r="H20" s="48" t="str">
        <f>IFERROR(Линия5[[#This Row],[Количество]]/Линия5[[#This Row],[Шт. в поддоне]], "")</f>
        <v/>
      </c>
    </row>
    <row r="21" spans="1:8" ht="13.8" hidden="1" x14ac:dyDescent="0.25">
      <c r="A21" s="44">
        <f t="shared" si="1"/>
        <v>46057.59267241379</v>
      </c>
      <c r="B21" s="47">
        <f>IFERROR(IF(OR(Линия5[[#This Row],[Дата начала]]="", Линия5[[#This Row],[Длительность]]=""), 1/0, Линия5[[#This Row],[Дата начала]]+Линия5[[#This Row],[Длительность]]), "")</f>
        <v>46057.678879310341</v>
      </c>
      <c r="C21" s="28">
        <f t="shared" si="0"/>
        <v>8.6206896551724144E-2</v>
      </c>
      <c r="D21" s="29">
        <v>2900</v>
      </c>
      <c r="E21" s="29" t="s">
        <v>271</v>
      </c>
      <c r="F21" s="29">
        <v>6000</v>
      </c>
      <c r="G21" s="29">
        <v>1368</v>
      </c>
      <c r="H21" s="48">
        <f>IFERROR(Линия5[[#This Row],[Количество]]/Линия5[[#This Row],[Шт. в поддоне]], "")</f>
        <v>4.3859649122807021</v>
      </c>
    </row>
    <row r="22" spans="1:8" ht="13.8" hidden="1" x14ac:dyDescent="0.25">
      <c r="A22" s="44">
        <f t="shared" si="1"/>
        <v>46057.678879310341</v>
      </c>
      <c r="B22" s="47">
        <f>IFERROR(IF(OR(Линия5[[#This Row],[Дата начала]]="", Линия5[[#This Row],[Длительность]]=""), 1/0, Линия5[[#This Row],[Дата начала]]+Линия5[[#This Row],[Длительность]]), "")</f>
        <v>46057.692768199231</v>
      </c>
      <c r="C22" s="28">
        <f t="shared" si="0"/>
        <v>1.3888888888888888E-2</v>
      </c>
      <c r="D22" s="29"/>
      <c r="E22" s="29" t="s">
        <v>197</v>
      </c>
      <c r="F22" s="29"/>
      <c r="G22" s="29"/>
      <c r="H22" s="48" t="str">
        <f>IFERROR(Линия5[[#This Row],[Количество]]/Линия5[[#This Row],[Шт. в поддоне]], "")</f>
        <v/>
      </c>
    </row>
    <row r="23" spans="1:8" ht="13.8" hidden="1" x14ac:dyDescent="0.25">
      <c r="A23" s="44">
        <f t="shared" si="1"/>
        <v>46057.692768199231</v>
      </c>
      <c r="B23" s="47">
        <f>IFERROR(IF(OR(Линия5[[#This Row],[Дата начала]]="", Линия5[[#This Row],[Длительность]]=""), 1/0, Линия5[[#This Row],[Дата начала]]+Линия5[[#This Row],[Длительность]]), "")</f>
        <v>46057.778975095782</v>
      </c>
      <c r="C23" s="28">
        <f t="shared" si="0"/>
        <v>8.6206896551724144E-2</v>
      </c>
      <c r="D23" s="29">
        <v>2900</v>
      </c>
      <c r="E23" s="29" t="s">
        <v>272</v>
      </c>
      <c r="F23" s="29">
        <v>6000</v>
      </c>
      <c r="G23" s="29">
        <v>1368</v>
      </c>
      <c r="H23" s="48">
        <f>IFERROR(Линия5[[#This Row],[Количество]]/Линия5[[#This Row],[Шт. в поддоне]], "")</f>
        <v>4.3859649122807021</v>
      </c>
    </row>
    <row r="24" spans="1:8" ht="13.8" hidden="1" x14ac:dyDescent="0.25">
      <c r="A24" s="44">
        <v>46058.458333333336</v>
      </c>
      <c r="B24" s="47">
        <f>IFERROR(IF(OR(Линия5[[#This Row],[Дата начала]]="", Линия5[[#This Row],[Длительность]]=""), 1/0, Линия5[[#This Row],[Дата начала]]+Линия5[[#This Row],[Длительность]]), "")</f>
        <v>46058.472222222226</v>
      </c>
      <c r="C24" s="28">
        <f t="shared" si="0"/>
        <v>1.3888888888888888E-2</v>
      </c>
      <c r="D24" s="29"/>
      <c r="E24" s="29" t="s">
        <v>197</v>
      </c>
      <c r="F24" s="29"/>
      <c r="G24" s="29"/>
      <c r="H24" s="48" t="str">
        <f>IFERROR(Линия5[[#This Row],[Количество]]/Линия5[[#This Row],[Шт. в поддоне]], "")</f>
        <v/>
      </c>
    </row>
    <row r="25" spans="1:8" ht="13.8" hidden="1" x14ac:dyDescent="0.25">
      <c r="A25" s="44">
        <f t="shared" si="1"/>
        <v>46058.472222222226</v>
      </c>
      <c r="B25" s="47">
        <f>IFERROR(IF(OR(Линия5[[#This Row],[Дата начала]]="", Линия5[[#This Row],[Длительность]]=""), 1/0, Линия5[[#This Row],[Дата начала]]+Линия5[[#This Row],[Длительность]]), "")</f>
        <v>46058.558429118777</v>
      </c>
      <c r="C25" s="28">
        <f t="shared" si="0"/>
        <v>8.6206896551724144E-2</v>
      </c>
      <c r="D25" s="29">
        <v>2900</v>
      </c>
      <c r="E25" s="29" t="s">
        <v>273</v>
      </c>
      <c r="F25" s="29">
        <v>6000</v>
      </c>
      <c r="G25" s="29">
        <v>1368</v>
      </c>
      <c r="H25" s="48">
        <f>IFERROR(Линия5[[#This Row],[Количество]]/Линия5[[#This Row],[Шт. в поддоне]], "")</f>
        <v>4.3859649122807021</v>
      </c>
    </row>
    <row r="26" spans="1:8" ht="13.8" hidden="1" x14ac:dyDescent="0.25">
      <c r="A26" s="44">
        <f t="shared" si="1"/>
        <v>46058.558429118777</v>
      </c>
      <c r="B26" s="47">
        <f>IFERROR(IF(OR(Линия5[[#This Row],[Дата начала]]="", Линия5[[#This Row],[Длительность]]=""), 1/0, Линия5[[#This Row],[Дата начала]]+Линия5[[#This Row],[Длительность]]), "")</f>
        <v>46058.572318007667</v>
      </c>
      <c r="C26" s="28">
        <f t="shared" si="0"/>
        <v>1.3888888888888888E-2</v>
      </c>
      <c r="D26" s="29"/>
      <c r="E26" s="29" t="s">
        <v>197</v>
      </c>
      <c r="F26" s="29"/>
      <c r="G26" s="29"/>
      <c r="H26" s="48" t="str">
        <f>IFERROR(Линия5[[#This Row],[Количество]]/Линия5[[#This Row],[Шт. в поддоне]], "")</f>
        <v/>
      </c>
    </row>
    <row r="27" spans="1:8" ht="13.8" hidden="1" x14ac:dyDescent="0.25">
      <c r="A27" s="44">
        <f t="shared" si="1"/>
        <v>46058.572318007667</v>
      </c>
      <c r="B27" s="47">
        <f>IFERROR(IF(OR(Линия5[[#This Row],[Дата начала]]="", Линия5[[#This Row],[Длительность]]=""), 1/0, Линия5[[#This Row],[Дата начала]]+Линия5[[#This Row],[Длительность]]), "")</f>
        <v>46058.744731800769</v>
      </c>
      <c r="C27" s="28">
        <f t="shared" si="0"/>
        <v>0.17241379310344829</v>
      </c>
      <c r="D27" s="29">
        <v>2900</v>
      </c>
      <c r="E27" s="29" t="s">
        <v>274</v>
      </c>
      <c r="F27" s="29">
        <v>12000</v>
      </c>
      <c r="G27" s="29">
        <v>1368</v>
      </c>
      <c r="H27" s="48">
        <f>IFERROR(Линия5[[#This Row],[Количество]]/Линия5[[#This Row],[Шт. в поддоне]], "")</f>
        <v>8.7719298245614041</v>
      </c>
    </row>
    <row r="28" spans="1:8" ht="13.8" hidden="1" x14ac:dyDescent="0.25">
      <c r="A28" s="44">
        <f t="shared" si="1"/>
        <v>46058.744731800769</v>
      </c>
      <c r="B28" s="47">
        <f>IFERROR(IF(OR(Линия5[[#This Row],[Дата начала]]="", Линия5[[#This Row],[Длительность]]=""), 1/0, Линия5[[#This Row],[Дата начала]]+Линия5[[#This Row],[Длительность]]), "")</f>
        <v>46058.911398467433</v>
      </c>
      <c r="C28" s="28">
        <v>0.16666666666666666</v>
      </c>
      <c r="D28" s="29"/>
      <c r="E28" s="29" t="s">
        <v>275</v>
      </c>
      <c r="F28" s="29"/>
      <c r="G28" s="29"/>
      <c r="H28" s="48" t="str">
        <f>IFERROR(Линия5[[#This Row],[Количество]]/Линия5[[#This Row],[Шт. в поддоне]], "")</f>
        <v/>
      </c>
    </row>
    <row r="29" spans="1:8" ht="13.8" hidden="1" x14ac:dyDescent="0.25">
      <c r="A29" s="44">
        <f t="shared" si="1"/>
        <v>46058.911398467433</v>
      </c>
      <c r="B29" s="47">
        <v>46059.458333333336</v>
      </c>
      <c r="C29" s="28">
        <f t="shared" si="0"/>
        <v>0.28409090909090912</v>
      </c>
      <c r="D29" s="29">
        <v>2200</v>
      </c>
      <c r="E29" s="29" t="s">
        <v>276</v>
      </c>
      <c r="F29" s="29">
        <v>15000</v>
      </c>
      <c r="G29" s="29">
        <v>384</v>
      </c>
      <c r="H29" s="48">
        <f>IFERROR(Линия5[[#This Row],[Количество]]/Линия5[[#This Row],[Шт. в поддоне]], "")</f>
        <v>39.0625</v>
      </c>
    </row>
    <row r="30" spans="1:8" ht="13.8" hidden="1" x14ac:dyDescent="0.25">
      <c r="A30" s="44">
        <f t="shared" si="1"/>
        <v>46059.458333333336</v>
      </c>
      <c r="B30" s="47">
        <f>IFERROR(IF(OR(Линия5[[#This Row],[Дата начала]]="", Линия5[[#This Row],[Длительность]]=""), 1/0, Линия5[[#This Row],[Дата начала]]+Линия5[[#This Row],[Длительность]]), "")</f>
        <v>46059.520833333336</v>
      </c>
      <c r="C30" s="28">
        <f t="shared" si="0"/>
        <v>6.25E-2</v>
      </c>
      <c r="D30" s="29"/>
      <c r="E30" s="29" t="s">
        <v>153</v>
      </c>
      <c r="F30" s="29"/>
      <c r="G30" s="29"/>
      <c r="H30" s="48" t="str">
        <f>IFERROR(Линия5[[#This Row],[Количество]]/Линия5[[#This Row],[Шт. в поддоне]], "")</f>
        <v/>
      </c>
    </row>
    <row r="31" spans="1:8" ht="13.8" hidden="1" x14ac:dyDescent="0.25">
      <c r="A31" s="44">
        <f t="shared" si="1"/>
        <v>46059.520833333336</v>
      </c>
      <c r="B31" s="47">
        <f>IFERROR(IF(OR(Линия5[[#This Row],[Дата начала]]="", Линия5[[#This Row],[Длительность]]=""), 1/0, Линия5[[#This Row],[Дата начала]]+Линия5[[#This Row],[Длительность]]), "")</f>
        <v>46059.634469696975</v>
      </c>
      <c r="C31" s="28">
        <f t="shared" si="0"/>
        <v>0.11363636363636363</v>
      </c>
      <c r="D31" s="29">
        <v>2200</v>
      </c>
      <c r="E31" s="29" t="s">
        <v>277</v>
      </c>
      <c r="F31" s="29">
        <v>6000</v>
      </c>
      <c r="G31" s="29">
        <v>384</v>
      </c>
      <c r="H31" s="48">
        <f>IFERROR(Линия5[[#This Row],[Количество]]/Линия5[[#This Row],[Шт. в поддоне]], "")</f>
        <v>15.625</v>
      </c>
    </row>
    <row r="32" spans="1:8" ht="13.8" hidden="1" x14ac:dyDescent="0.25">
      <c r="A32" s="44">
        <f t="shared" si="1"/>
        <v>46059.634469696975</v>
      </c>
      <c r="B32" s="47">
        <f>IFERROR(IF(OR(Линия5[[#This Row],[Дата начала]]="", Линия5[[#This Row],[Длительность]]=""), 1/0, Линия5[[#This Row],[Дата начала]]+Линия5[[#This Row],[Длительность]]), "")</f>
        <v>46059.648358585866</v>
      </c>
      <c r="C32" s="28">
        <f t="shared" si="0"/>
        <v>1.3888888888888888E-2</v>
      </c>
      <c r="D32" s="29"/>
      <c r="E32" s="29" t="s">
        <v>197</v>
      </c>
      <c r="F32" s="29"/>
      <c r="G32" s="29"/>
      <c r="H32" s="48" t="str">
        <f>IFERROR(Линия5[[#This Row],[Количество]]/Линия5[[#This Row],[Шт. в поддоне]], "")</f>
        <v/>
      </c>
    </row>
    <row r="33" spans="1:8" ht="13.8" hidden="1" x14ac:dyDescent="0.25">
      <c r="A33" s="44">
        <f t="shared" si="1"/>
        <v>46059.648358585866</v>
      </c>
      <c r="B33" s="47">
        <f>IFERROR(IF(OR(Линия5[[#This Row],[Дата начала]]="", Линия5[[#This Row],[Длительность]]=""), 1/0, Линия5[[#This Row],[Дата начала]]+Линия5[[#This Row],[Длительность]]), "")</f>
        <v>46059.932449494954</v>
      </c>
      <c r="C33" s="28">
        <f t="shared" si="0"/>
        <v>0.28409090909090912</v>
      </c>
      <c r="D33" s="29">
        <v>2200</v>
      </c>
      <c r="E33" s="29" t="s">
        <v>278</v>
      </c>
      <c r="F33" s="29">
        <v>15000</v>
      </c>
      <c r="G33" s="29">
        <v>384</v>
      </c>
      <c r="H33" s="48">
        <f>IFERROR(Линия5[[#This Row],[Количество]]/Линия5[[#This Row],[Шт. в поддоне]], "")</f>
        <v>39.0625</v>
      </c>
    </row>
    <row r="34" spans="1:8" ht="13.8" hidden="1" x14ac:dyDescent="0.25">
      <c r="A34" s="44">
        <f t="shared" si="1"/>
        <v>46059.932449494954</v>
      </c>
      <c r="B34" s="47">
        <f>IFERROR(IF(OR(Линия5[[#This Row],[Дата начала]]="", Линия5[[#This Row],[Длительность]]=""), 1/0, Линия5[[#This Row],[Дата начала]]+Линия5[[#This Row],[Длительность]]), "")</f>
        <v>46059.946338383845</v>
      </c>
      <c r="C34" s="28">
        <f t="shared" si="0"/>
        <v>1.3888888888888888E-2</v>
      </c>
      <c r="D34" s="29"/>
      <c r="E34" s="29" t="s">
        <v>197</v>
      </c>
      <c r="F34" s="29"/>
      <c r="G34" s="29"/>
      <c r="H34" s="48" t="str">
        <f>IFERROR(Линия5[[#This Row],[Количество]]/Линия5[[#This Row],[Шт. в поддоне]], "")</f>
        <v/>
      </c>
    </row>
    <row r="35" spans="1:8" ht="13.8" hidden="1" x14ac:dyDescent="0.25">
      <c r="A35" s="44">
        <f t="shared" si="1"/>
        <v>46059.946338383845</v>
      </c>
      <c r="B35" s="47">
        <f>IFERROR(IF(OR(Линия5[[#This Row],[Дата начала]]="", Линия5[[#This Row],[Длительность]]=""), 1/0, Линия5[[#This Row],[Дата начала]]+Линия5[[#This Row],[Длительность]]), "")</f>
        <v>46060.031565656573</v>
      </c>
      <c r="C35" s="28">
        <f t="shared" si="0"/>
        <v>8.5227272727272721E-2</v>
      </c>
      <c r="D35" s="29">
        <v>2200</v>
      </c>
      <c r="E35" s="29" t="s">
        <v>279</v>
      </c>
      <c r="F35" s="29">
        <v>4500</v>
      </c>
      <c r="G35" s="29">
        <v>384</v>
      </c>
      <c r="H35" s="48">
        <f>IFERROR(Линия5[[#This Row],[Количество]]/Линия5[[#This Row],[Шт. в поддоне]], "")</f>
        <v>11.71875</v>
      </c>
    </row>
    <row r="36" spans="1:8" ht="13.8" hidden="1" x14ac:dyDescent="0.25">
      <c r="A36" s="44">
        <f t="shared" si="1"/>
        <v>46060.031565656573</v>
      </c>
      <c r="B36" s="47">
        <f>IFERROR(IF(OR(Линия5[[#This Row],[Дата начала]]="", Линия5[[#This Row],[Длительность]]=""), 1/0, Линия5[[#This Row],[Дата начала]]+Линия5[[#This Row],[Длительность]]), "")</f>
        <v>46060.094065656573</v>
      </c>
      <c r="C36" s="28">
        <f t="shared" si="0"/>
        <v>6.25E-2</v>
      </c>
      <c r="D36" s="29"/>
      <c r="E36" s="29" t="s">
        <v>153</v>
      </c>
      <c r="F36" s="29"/>
      <c r="G36" s="29"/>
      <c r="H36" s="48" t="str">
        <f>IFERROR(Линия5[[#This Row],[Количество]]/Линия5[[#This Row],[Шт. в поддоне]], "")</f>
        <v/>
      </c>
    </row>
    <row r="37" spans="1:8" ht="13.8" hidden="1" x14ac:dyDescent="0.25">
      <c r="A37" s="44">
        <f t="shared" si="1"/>
        <v>46060.094065656573</v>
      </c>
      <c r="B37" s="47">
        <f>IFERROR(IF(OR(Линия5[[#This Row],[Дата начала]]="", Линия5[[#This Row],[Длительность]]=""), 1/0, Линия5[[#This Row],[Дата начала]]+Линия5[[#This Row],[Длительность]]), "")</f>
        <v>46060.378156565661</v>
      </c>
      <c r="C37" s="28">
        <f t="shared" si="0"/>
        <v>0.28409090909090912</v>
      </c>
      <c r="D37" s="29">
        <v>2200</v>
      </c>
      <c r="E37" s="29" t="s">
        <v>280</v>
      </c>
      <c r="F37" s="29">
        <v>15000</v>
      </c>
      <c r="G37" s="29">
        <v>384</v>
      </c>
      <c r="H37" s="48">
        <f>IFERROR(Линия5[[#This Row],[Количество]]/Линия5[[#This Row],[Шт. в поддоне]], "")</f>
        <v>39.0625</v>
      </c>
    </row>
    <row r="38" spans="1:8" ht="13.8" hidden="1" x14ac:dyDescent="0.25">
      <c r="A38" s="44">
        <f t="shared" si="1"/>
        <v>46060.378156565661</v>
      </c>
      <c r="B38" s="47">
        <f>IFERROR(IF(OR(Линия5[[#This Row],[Дата начала]]="", Линия5[[#This Row],[Длительность]]=""), 1/0, Линия5[[#This Row],[Дата начала]]+Линия5[[#This Row],[Длительность]]), "")</f>
        <v>46060.392045454551</v>
      </c>
      <c r="C38" s="28">
        <f t="shared" si="0"/>
        <v>1.3888888888888888E-2</v>
      </c>
      <c r="D38" s="29"/>
      <c r="E38" s="29" t="s">
        <v>197</v>
      </c>
      <c r="F38" s="29"/>
      <c r="G38" s="29"/>
      <c r="H38" s="48" t="str">
        <f>IFERROR(Линия5[[#This Row],[Количество]]/Линия5[[#This Row],[Шт. в поддоне]], "")</f>
        <v/>
      </c>
    </row>
    <row r="39" spans="1:8" ht="13.8" hidden="1" x14ac:dyDescent="0.25">
      <c r="A39" s="44">
        <f t="shared" si="1"/>
        <v>46060.392045454551</v>
      </c>
      <c r="B39" s="47">
        <f>IFERROR(IF(OR(Линия5[[#This Row],[Дата начала]]="", Линия5[[#This Row],[Длительность]]=""), 1/0, Линия5[[#This Row],[Дата начала]]+Линия5[[#This Row],[Длительность]]), "")</f>
        <v>46060.477272727279</v>
      </c>
      <c r="C39" s="28">
        <f t="shared" si="0"/>
        <v>8.5227272727272721E-2</v>
      </c>
      <c r="D39" s="29">
        <v>2200</v>
      </c>
      <c r="E39" s="29" t="s">
        <v>281</v>
      </c>
      <c r="F39" s="29">
        <v>4500</v>
      </c>
      <c r="G39" s="29">
        <v>384</v>
      </c>
      <c r="H39" s="48">
        <f>IFERROR(Линия5[[#This Row],[Количество]]/Линия5[[#This Row],[Шт. в поддоне]], "")</f>
        <v>11.71875</v>
      </c>
    </row>
    <row r="40" spans="1:8" ht="13.8" hidden="1" x14ac:dyDescent="0.25">
      <c r="A40" s="44">
        <f t="shared" si="1"/>
        <v>46060.477272727279</v>
      </c>
      <c r="B40" s="47">
        <f>IFERROR(IF(OR(Линия5[[#This Row],[Дата начала]]="", Линия5[[#This Row],[Длительность]]=""), 1/0, Линия5[[#This Row],[Дата начала]]+Линия5[[#This Row],[Длительность]]), "")</f>
        <v>46060.49116161617</v>
      </c>
      <c r="C40" s="28">
        <f t="shared" si="0"/>
        <v>1.3888888888888888E-2</v>
      </c>
      <c r="D40" s="29"/>
      <c r="E40" s="29" t="s">
        <v>197</v>
      </c>
      <c r="F40" s="29"/>
      <c r="G40" s="29"/>
      <c r="H40" s="48" t="str">
        <f>IFERROR(Линия5[[#This Row],[Количество]]/Линия5[[#This Row],[Шт. в поддоне]], "")</f>
        <v/>
      </c>
    </row>
    <row r="41" spans="1:8" ht="13.8" hidden="1" x14ac:dyDescent="0.25">
      <c r="A41" s="44">
        <f t="shared" si="1"/>
        <v>46060.49116161617</v>
      </c>
      <c r="B41" s="47">
        <f>IFERROR(IF(OR(Линия5[[#This Row],[Дата начала]]="", Линия5[[#This Row],[Длительность]]=""), 1/0, Линия5[[#This Row],[Дата начала]]+Линия5[[#This Row],[Длительность]]), "")</f>
        <v>46060.576388888898</v>
      </c>
      <c r="C41" s="28">
        <f t="shared" si="0"/>
        <v>8.5227272727272721E-2</v>
      </c>
      <c r="D41" s="29">
        <v>2200</v>
      </c>
      <c r="E41" s="29" t="s">
        <v>282</v>
      </c>
      <c r="F41" s="29">
        <v>4500</v>
      </c>
      <c r="G41" s="29">
        <v>384</v>
      </c>
      <c r="H41" s="48">
        <f>IFERROR(Линия5[[#This Row],[Количество]]/Линия5[[#This Row],[Шт. в поддоне]], "")</f>
        <v>11.71875</v>
      </c>
    </row>
    <row r="42" spans="1:8" ht="13.8" hidden="1" x14ac:dyDescent="0.25">
      <c r="A42" s="44">
        <f t="shared" si="1"/>
        <v>46060.576388888898</v>
      </c>
      <c r="B42" s="47">
        <f>IFERROR(IF(OR(Линия5[[#This Row],[Дата начала]]="", Линия5[[#This Row],[Длительность]]=""), 1/0, Линия5[[#This Row],[Дата начала]]+Линия5[[#This Row],[Длительность]]), "")</f>
        <v>46060.590277777788</v>
      </c>
      <c r="C42" s="28">
        <f t="shared" si="0"/>
        <v>1.3888888888888888E-2</v>
      </c>
      <c r="D42" s="29"/>
      <c r="E42" s="29" t="s">
        <v>197</v>
      </c>
      <c r="F42" s="29"/>
      <c r="G42" s="29"/>
      <c r="H42" s="48" t="str">
        <f>IFERROR(Линия5[[#This Row],[Количество]]/Линия5[[#This Row],[Шт. в поддоне]], "")</f>
        <v/>
      </c>
    </row>
    <row r="43" spans="1:8" ht="13.8" hidden="1" x14ac:dyDescent="0.25">
      <c r="A43" s="44">
        <f t="shared" si="1"/>
        <v>46060.590277777788</v>
      </c>
      <c r="B43" s="47">
        <f>IFERROR(IF(OR(Линия5[[#This Row],[Дата начала]]="", Линия5[[#This Row],[Длительность]]=""), 1/0, Линия5[[#This Row],[Дата начала]]+Линия5[[#This Row],[Длительность]]), "")</f>
        <v>46060.675505050516</v>
      </c>
      <c r="C43" s="28">
        <f t="shared" si="0"/>
        <v>8.5227272727272721E-2</v>
      </c>
      <c r="D43" s="29">
        <v>2200</v>
      </c>
      <c r="E43" s="29" t="s">
        <v>283</v>
      </c>
      <c r="F43" s="29">
        <v>4500</v>
      </c>
      <c r="G43" s="29">
        <v>384</v>
      </c>
      <c r="H43" s="48">
        <f>IFERROR(Линия5[[#This Row],[Количество]]/Линия5[[#This Row],[Шт. в поддоне]], "")</f>
        <v>11.71875</v>
      </c>
    </row>
    <row r="44" spans="1:8" ht="13.8" hidden="1" x14ac:dyDescent="0.25">
      <c r="A44" s="44">
        <f t="shared" si="1"/>
        <v>46060.675505050516</v>
      </c>
      <c r="B44" s="47">
        <f>IFERROR(IF(OR(Линия5[[#This Row],[Дата начала]]="", Линия5[[#This Row],[Длительность]]=""), 1/0, Линия5[[#This Row],[Дата начала]]+Линия5[[#This Row],[Длительность]]), "")</f>
        <v>46060.689393939407</v>
      </c>
      <c r="C44" s="28">
        <f t="shared" si="0"/>
        <v>1.3888888888888888E-2</v>
      </c>
      <c r="D44" s="29"/>
      <c r="E44" s="29" t="s">
        <v>197</v>
      </c>
      <c r="F44" s="29"/>
      <c r="G44" s="29"/>
      <c r="H44" s="48" t="str">
        <f>IFERROR(Линия5[[#This Row],[Количество]]/Линия5[[#This Row],[Шт. в поддоне]], "")</f>
        <v/>
      </c>
    </row>
    <row r="45" spans="1:8" ht="13.8" hidden="1" x14ac:dyDescent="0.25">
      <c r="A45" s="44">
        <f t="shared" si="1"/>
        <v>46060.689393939407</v>
      </c>
      <c r="B45" s="47">
        <f>IFERROR(IF(OR(Линия5[[#This Row],[Дата начала]]="", Линия5[[#This Row],[Длительность]]=""), 1/0, Линия5[[#This Row],[Дата начала]]+Линия5[[#This Row],[Длительность]]), "")</f>
        <v>46061.257575757591</v>
      </c>
      <c r="C45" s="28">
        <f t="shared" si="0"/>
        <v>0.56818181818181823</v>
      </c>
      <c r="D45" s="29">
        <v>2200</v>
      </c>
      <c r="E45" s="29" t="s">
        <v>284</v>
      </c>
      <c r="F45" s="29">
        <v>30000</v>
      </c>
      <c r="G45" s="29">
        <v>384</v>
      </c>
      <c r="H45" s="48">
        <f>IFERROR(Линия5[[#This Row],[Количество]]/Линия5[[#This Row],[Шт. в поддоне]], "")</f>
        <v>78.125</v>
      </c>
    </row>
    <row r="46" spans="1:8" ht="13.8" hidden="1" x14ac:dyDescent="0.25">
      <c r="A46" s="44">
        <f t="shared" si="1"/>
        <v>46061.257575757591</v>
      </c>
      <c r="B46" s="47">
        <f>IFERROR(IF(OR(Линия5[[#This Row],[Дата начала]]="", Линия5[[#This Row],[Длительность]]=""), 1/0, Линия5[[#This Row],[Дата начала]]+Линия5[[#This Row],[Длительность]]), "")</f>
        <v>46061.320075757591</v>
      </c>
      <c r="C46" s="28">
        <f t="shared" si="0"/>
        <v>6.25E-2</v>
      </c>
      <c r="D46" s="29"/>
      <c r="E46" s="29" t="s">
        <v>153</v>
      </c>
      <c r="F46" s="29"/>
      <c r="G46" s="29"/>
      <c r="H46" s="48" t="str">
        <f>IFERROR(Линия5[[#This Row],[Количество]]/Линия5[[#This Row],[Шт. в поддоне]], "")</f>
        <v/>
      </c>
    </row>
    <row r="47" spans="1:8" ht="13.8" hidden="1" x14ac:dyDescent="0.25">
      <c r="A47" s="44">
        <f t="shared" si="1"/>
        <v>46061.320075757591</v>
      </c>
      <c r="B47" s="47">
        <f>IFERROR(IF(OR(Линия5[[#This Row],[Дата начала]]="", Линия5[[#This Row],[Длительность]]=""), 1/0, Линия5[[#This Row],[Дата начала]]+Линия5[[#This Row],[Длительность]]), "")</f>
        <v>46061.376893939407</v>
      </c>
      <c r="C47" s="28">
        <f t="shared" si="0"/>
        <v>5.6818181818181816E-2</v>
      </c>
      <c r="D47" s="29">
        <v>2200</v>
      </c>
      <c r="E47" s="29" t="s">
        <v>285</v>
      </c>
      <c r="F47" s="29">
        <v>3000</v>
      </c>
      <c r="G47" s="29">
        <v>384</v>
      </c>
      <c r="H47" s="48">
        <f>IFERROR(Линия5[[#This Row],[Количество]]/Линия5[[#This Row],[Шт. в поддоне]], "")</f>
        <v>7.8125</v>
      </c>
    </row>
    <row r="48" spans="1:8" ht="13.8" hidden="1" x14ac:dyDescent="0.25">
      <c r="A48" s="44">
        <f t="shared" si="1"/>
        <v>46061.376893939407</v>
      </c>
      <c r="B48" s="47">
        <f>IFERROR(IF(OR(Линия5[[#This Row],[Дата начала]]="", Линия5[[#This Row],[Длительность]]=""), 1/0, Линия5[[#This Row],[Дата начала]]+Линия5[[#This Row],[Длительность]]), "")</f>
        <v>46061.390782828297</v>
      </c>
      <c r="C48" s="28">
        <f t="shared" si="0"/>
        <v>1.3888888888888888E-2</v>
      </c>
      <c r="D48" s="29"/>
      <c r="E48" s="29" t="s">
        <v>197</v>
      </c>
      <c r="F48" s="29"/>
      <c r="G48" s="29"/>
      <c r="H48" s="48" t="str">
        <f>IFERROR(Линия5[[#This Row],[Количество]]/Линия5[[#This Row],[Шт. в поддоне]], "")</f>
        <v/>
      </c>
    </row>
    <row r="49" spans="1:8" ht="13.8" hidden="1" x14ac:dyDescent="0.25">
      <c r="A49" s="44">
        <v>46062.208333333336</v>
      </c>
      <c r="B49" s="47">
        <f>IFERROR(IF(OR(Линия5[[#This Row],[Дата начала]]="", Линия5[[#This Row],[Длительность]]=""), 1/0, Линия5[[#This Row],[Дата начала]]+Линия5[[#This Row],[Длительность]]), "")</f>
        <v>46062.265151515152</v>
      </c>
      <c r="C49" s="28">
        <f t="shared" si="0"/>
        <v>5.6818181818181816E-2</v>
      </c>
      <c r="D49" s="29">
        <v>2200</v>
      </c>
      <c r="E49" s="29" t="s">
        <v>286</v>
      </c>
      <c r="F49" s="29">
        <v>3000</v>
      </c>
      <c r="G49" s="29">
        <v>384</v>
      </c>
      <c r="H49" s="48">
        <f>IFERROR(Линия5[[#This Row],[Количество]]/Линия5[[#This Row],[Шт. в поддоне]], "")</f>
        <v>7.8125</v>
      </c>
    </row>
    <row r="50" spans="1:8" ht="13.8" hidden="1" x14ac:dyDescent="0.25">
      <c r="A50" s="44">
        <f t="shared" si="1"/>
        <v>46062.265151515152</v>
      </c>
      <c r="B50" s="47">
        <f>IFERROR(IF(OR(Линия5[[#This Row],[Дата начала]]="", Линия5[[#This Row],[Длительность]]=""), 1/0, Линия5[[#This Row],[Дата начала]]+Линия5[[#This Row],[Длительность]]), "")</f>
        <v>46062.279040404042</v>
      </c>
      <c r="C50" s="28">
        <f t="shared" si="0"/>
        <v>1.3888888888888888E-2</v>
      </c>
      <c r="D50" s="29"/>
      <c r="E50" s="29" t="s">
        <v>197</v>
      </c>
      <c r="F50" s="29"/>
      <c r="G50" s="29"/>
      <c r="H50" s="48" t="str">
        <f>IFERROR(Линия5[[#This Row],[Количество]]/Линия5[[#This Row],[Шт. в поддоне]], "")</f>
        <v/>
      </c>
    </row>
    <row r="51" spans="1:8" ht="13.8" hidden="1" x14ac:dyDescent="0.25">
      <c r="A51" s="44">
        <f t="shared" si="1"/>
        <v>46062.279040404042</v>
      </c>
      <c r="B51" s="47">
        <f>IFERROR(IF(OR(Линия5[[#This Row],[Дата начала]]="", Линия5[[#This Row],[Длительность]]=""), 1/0, Линия5[[#This Row],[Дата начала]]+Линия5[[#This Row],[Длительность]]), "")</f>
        <v>46062.335858585859</v>
      </c>
      <c r="C51" s="28">
        <f t="shared" si="0"/>
        <v>5.6818181818181816E-2</v>
      </c>
      <c r="D51" s="29">
        <v>2200</v>
      </c>
      <c r="E51" s="29" t="s">
        <v>287</v>
      </c>
      <c r="F51" s="29">
        <v>3000</v>
      </c>
      <c r="G51" s="29">
        <v>384</v>
      </c>
      <c r="H51" s="48">
        <f>IFERROR(Линия5[[#This Row],[Количество]]/Линия5[[#This Row],[Шт. в поддоне]], "")</f>
        <v>7.8125</v>
      </c>
    </row>
    <row r="52" spans="1:8" ht="13.8" hidden="1" x14ac:dyDescent="0.25">
      <c r="A52" s="44">
        <f t="shared" si="1"/>
        <v>46062.335858585859</v>
      </c>
      <c r="B52" s="47">
        <f>IFERROR(IF(OR(Линия5[[#This Row],[Дата начала]]="", Линия5[[#This Row],[Длительность]]=""), 1/0, Линия5[[#This Row],[Дата начала]]+Линия5[[#This Row],[Длительность]]), "")</f>
        <v>46062.398358585859</v>
      </c>
      <c r="C52" s="28">
        <f t="shared" si="0"/>
        <v>6.25E-2</v>
      </c>
      <c r="D52" s="29"/>
      <c r="E52" s="29" t="s">
        <v>153</v>
      </c>
      <c r="F52" s="29"/>
      <c r="G52" s="29"/>
      <c r="H52" s="48" t="str">
        <f>IFERROR(Линия5[[#This Row],[Количество]]/Линия5[[#This Row],[Шт. в поддоне]], "")</f>
        <v/>
      </c>
    </row>
    <row r="53" spans="1:8" ht="13.8" hidden="1" x14ac:dyDescent="0.25">
      <c r="A53" s="44">
        <f t="shared" si="1"/>
        <v>46062.398358585859</v>
      </c>
      <c r="B53" s="47">
        <f>IFERROR(IF(OR(Линия5[[#This Row],[Дата начала]]="", Линия5[[#This Row],[Длительность]]=""), 1/0, Линия5[[#This Row],[Дата начала]]+Линия5[[#This Row],[Длительность]]), "")</f>
        <v>46062.455176767675</v>
      </c>
      <c r="C53" s="28">
        <f t="shared" si="0"/>
        <v>5.6818181818181816E-2</v>
      </c>
      <c r="D53" s="29">
        <v>2200</v>
      </c>
      <c r="E53" s="29" t="s">
        <v>288</v>
      </c>
      <c r="F53" s="29">
        <v>3000</v>
      </c>
      <c r="G53" s="29">
        <v>384</v>
      </c>
      <c r="H53" s="48">
        <f>IFERROR(Линия5[[#This Row],[Количество]]/Линия5[[#This Row],[Шт. в поддоне]], "")</f>
        <v>7.8125</v>
      </c>
    </row>
    <row r="54" spans="1:8" ht="13.8" hidden="1" x14ac:dyDescent="0.25">
      <c r="A54" s="44">
        <f t="shared" si="1"/>
        <v>46062.455176767675</v>
      </c>
      <c r="B54" s="47">
        <f>IFERROR(IF(OR(Линия5[[#This Row],[Дата начала]]="", Линия5[[#This Row],[Длительность]]=""), 1/0, Линия5[[#This Row],[Дата начала]]+Линия5[[#This Row],[Длительность]]), "")</f>
        <v>46062.469065656565</v>
      </c>
      <c r="C54" s="28">
        <f t="shared" si="0"/>
        <v>1.3888888888888888E-2</v>
      </c>
      <c r="D54" s="29"/>
      <c r="E54" s="29" t="s">
        <v>197</v>
      </c>
      <c r="F54" s="29"/>
      <c r="G54" s="29"/>
      <c r="H54" s="48" t="str">
        <f>IFERROR(Линия5[[#This Row],[Количество]]/Линия5[[#This Row],[Шт. в поддоне]], "")</f>
        <v/>
      </c>
    </row>
    <row r="55" spans="1:8" ht="13.8" hidden="1" x14ac:dyDescent="0.25">
      <c r="A55" s="44">
        <f t="shared" si="1"/>
        <v>46062.469065656565</v>
      </c>
      <c r="B55" s="47">
        <f>IFERROR(IF(OR(Линия5[[#This Row],[Дата начала]]="", Линия5[[#This Row],[Длительность]]=""), 1/0, Линия5[[#This Row],[Дата начала]]+Линия5[[#This Row],[Длительность]]), "")</f>
        <v>46062.525883838382</v>
      </c>
      <c r="C55" s="28">
        <f t="shared" si="0"/>
        <v>5.6818181818181816E-2</v>
      </c>
      <c r="D55" s="29">
        <v>2200</v>
      </c>
      <c r="E55" s="29" t="s">
        <v>289</v>
      </c>
      <c r="F55" s="29">
        <v>3000</v>
      </c>
      <c r="G55" s="29">
        <v>384</v>
      </c>
      <c r="H55" s="48">
        <f>IFERROR(Линия5[[#This Row],[Количество]]/Линия5[[#This Row],[Шт. в поддоне]], "")</f>
        <v>7.8125</v>
      </c>
    </row>
    <row r="56" spans="1:8" ht="13.8" hidden="1" x14ac:dyDescent="0.25">
      <c r="A56" s="44">
        <f t="shared" si="1"/>
        <v>46062.525883838382</v>
      </c>
      <c r="B56" s="47">
        <f>IFERROR(IF(OR(Линия5[[#This Row],[Дата начала]]="", Линия5[[#This Row],[Длительность]]=""), 1/0, Линия5[[#This Row],[Дата начала]]+Линия5[[#This Row],[Длительность]]), "")</f>
        <v>46062.539772727272</v>
      </c>
      <c r="C56" s="28">
        <f t="shared" si="0"/>
        <v>1.3888888888888888E-2</v>
      </c>
      <c r="D56" s="29"/>
      <c r="E56" s="29" t="s">
        <v>197</v>
      </c>
      <c r="F56" s="29"/>
      <c r="G56" s="29"/>
      <c r="H56" s="48" t="str">
        <f>IFERROR(Линия5[[#This Row],[Количество]]/Линия5[[#This Row],[Шт. в поддоне]], "")</f>
        <v/>
      </c>
    </row>
    <row r="57" spans="1:8" ht="13.8" hidden="1" x14ac:dyDescent="0.25">
      <c r="A57" s="44">
        <f t="shared" si="1"/>
        <v>46062.539772727272</v>
      </c>
      <c r="B57" s="47">
        <f>IFERROR(IF(OR(Линия5[[#This Row],[Дата начала]]="", Линия5[[#This Row],[Длительность]]=""), 1/0, Линия5[[#This Row],[Дата начала]]+Линия5[[#This Row],[Длительность]]), "")</f>
        <v>46062.596590909088</v>
      </c>
      <c r="C57" s="28">
        <f t="shared" si="0"/>
        <v>5.6818181818181816E-2</v>
      </c>
      <c r="D57" s="29">
        <v>2200</v>
      </c>
      <c r="E57" s="29" t="s">
        <v>290</v>
      </c>
      <c r="F57" s="29">
        <v>3000</v>
      </c>
      <c r="G57" s="29">
        <v>384</v>
      </c>
      <c r="H57" s="48">
        <f>IFERROR(Линия5[[#This Row],[Количество]]/Линия5[[#This Row],[Шт. в поддоне]], "")</f>
        <v>7.8125</v>
      </c>
    </row>
    <row r="58" spans="1:8" ht="13.8" hidden="1" x14ac:dyDescent="0.25">
      <c r="A58" s="44">
        <f t="shared" si="1"/>
        <v>46062.596590909088</v>
      </c>
      <c r="B58" s="47">
        <f>IFERROR(IF(OR(Линия5[[#This Row],[Дата начала]]="", Линия5[[#This Row],[Длительность]]=""), 1/0, Линия5[[#This Row],[Дата начала]]+Линия5[[#This Row],[Длительность]]), "")</f>
        <v>46062.610479797979</v>
      </c>
      <c r="C58" s="28">
        <f t="shared" si="0"/>
        <v>1.3888888888888888E-2</v>
      </c>
      <c r="D58" s="29"/>
      <c r="E58" s="29" t="s">
        <v>197</v>
      </c>
      <c r="F58" s="29"/>
      <c r="G58" s="29"/>
      <c r="H58" s="48" t="str">
        <f>IFERROR(Линия5[[#This Row],[Количество]]/Линия5[[#This Row],[Шт. в поддоне]], "")</f>
        <v/>
      </c>
    </row>
    <row r="59" spans="1:8" ht="13.8" hidden="1" x14ac:dyDescent="0.25">
      <c r="A59" s="44">
        <f t="shared" si="1"/>
        <v>46062.610479797979</v>
      </c>
      <c r="B59" s="47">
        <f>IFERROR(IF(OR(Линия5[[#This Row],[Дата начала]]="", Линия5[[#This Row],[Длительность]]=""), 1/0, Линия5[[#This Row],[Дата начала]]+Линия5[[#This Row],[Длительность]]), "")</f>
        <v>46062.695707070707</v>
      </c>
      <c r="C59" s="28">
        <f t="shared" si="0"/>
        <v>8.5227272727272721E-2</v>
      </c>
      <c r="D59" s="29">
        <v>2200</v>
      </c>
      <c r="E59" s="29" t="s">
        <v>291</v>
      </c>
      <c r="F59" s="29">
        <v>4500</v>
      </c>
      <c r="G59" s="29">
        <v>384</v>
      </c>
      <c r="H59" s="48">
        <f>IFERROR(Линия5[[#This Row],[Количество]]/Линия5[[#This Row],[Шт. в поддоне]], "")</f>
        <v>11.71875</v>
      </c>
    </row>
    <row r="60" spans="1:8" ht="13.8" hidden="1" x14ac:dyDescent="0.25">
      <c r="A60" s="44">
        <f t="shared" si="1"/>
        <v>46062.695707070707</v>
      </c>
      <c r="B60" s="47">
        <f>IFERROR(IF(OR(Линия5[[#This Row],[Дата начала]]="", Линия5[[#This Row],[Длительность]]=""), 1/0, Линия5[[#This Row],[Дата начала]]+Линия5[[#This Row],[Длительность]]), "")</f>
        <v>46062.709595959597</v>
      </c>
      <c r="C60" s="28">
        <f t="shared" si="0"/>
        <v>1.3888888888888888E-2</v>
      </c>
      <c r="D60" s="29"/>
      <c r="E60" s="29" t="s">
        <v>197</v>
      </c>
      <c r="F60" s="29"/>
      <c r="G60" s="29"/>
      <c r="H60" s="48" t="str">
        <f>IFERROR(Линия5[[#This Row],[Количество]]/Линия5[[#This Row],[Шт. в поддоне]], "")</f>
        <v/>
      </c>
    </row>
    <row r="61" spans="1:8" ht="13.8" hidden="1" x14ac:dyDescent="0.25">
      <c r="A61" s="44">
        <f t="shared" si="1"/>
        <v>46062.709595959597</v>
      </c>
      <c r="B61" s="47">
        <f>IFERROR(IF(OR(Линия5[[#This Row],[Дата начала]]="", Линия5[[#This Row],[Длительность]]=""), 1/0, Линия5[[#This Row],[Дата начала]]+Линия5[[#This Row],[Длительность]]), "")</f>
        <v>46062.766414141413</v>
      </c>
      <c r="C61" s="28">
        <f t="shared" si="0"/>
        <v>5.6818181818181816E-2</v>
      </c>
      <c r="D61" s="29">
        <v>2200</v>
      </c>
      <c r="E61" s="29" t="s">
        <v>292</v>
      </c>
      <c r="F61" s="29">
        <v>3000</v>
      </c>
      <c r="G61" s="29">
        <v>384</v>
      </c>
      <c r="H61" s="48">
        <f>IFERROR(Линия5[[#This Row],[Количество]]/Линия5[[#This Row],[Шт. в поддоне]], "")</f>
        <v>7.8125</v>
      </c>
    </row>
    <row r="62" spans="1:8" ht="13.8" hidden="1" x14ac:dyDescent="0.25">
      <c r="A62" s="44">
        <f t="shared" si="1"/>
        <v>46062.766414141413</v>
      </c>
      <c r="B62" s="47">
        <f>IFERROR(IF(OR(Линия5[[#This Row],[Дата начала]]="", Линия5[[#This Row],[Длительность]]=""), 1/0, Линия5[[#This Row],[Дата начала]]+Линия5[[#This Row],[Длительность]]), "")</f>
        <v>46062.780303030304</v>
      </c>
      <c r="C62" s="28">
        <f t="shared" si="0"/>
        <v>1.3888888888888888E-2</v>
      </c>
      <c r="D62" s="29"/>
      <c r="E62" s="29" t="s">
        <v>197</v>
      </c>
      <c r="F62" s="29"/>
      <c r="G62" s="29"/>
      <c r="H62" s="48" t="str">
        <f>IFERROR(Линия5[[#This Row],[Количество]]/Линия5[[#This Row],[Шт. в поддоне]], "")</f>
        <v/>
      </c>
    </row>
    <row r="63" spans="1:8" ht="13.8" hidden="1" x14ac:dyDescent="0.25">
      <c r="A63" s="44">
        <f t="shared" si="1"/>
        <v>46062.780303030304</v>
      </c>
      <c r="B63" s="47">
        <f>IFERROR(IF(OR(Линия5[[#This Row],[Дата начала]]="", Линия5[[#This Row],[Длительность]]=""), 1/0, Линия5[[#This Row],[Дата начала]]+Линия5[[#This Row],[Длительность]]), "")</f>
        <v>46063.064393939392</v>
      </c>
      <c r="C63" s="28">
        <f t="shared" si="0"/>
        <v>0.28409090909090912</v>
      </c>
      <c r="D63" s="29">
        <v>2200</v>
      </c>
      <c r="E63" s="29" t="s">
        <v>293</v>
      </c>
      <c r="F63" s="29">
        <v>15000</v>
      </c>
      <c r="G63" s="29">
        <v>384</v>
      </c>
      <c r="H63" s="48">
        <f>IFERROR(Линия5[[#This Row],[Количество]]/Линия5[[#This Row],[Шт. в поддоне]], "")</f>
        <v>39.0625</v>
      </c>
    </row>
    <row r="64" spans="1:8" ht="13.8" hidden="1" x14ac:dyDescent="0.25">
      <c r="A64" s="44">
        <f t="shared" si="1"/>
        <v>46063.064393939392</v>
      </c>
      <c r="B64" s="47">
        <f>IFERROR(IF(OR(Линия5[[#This Row],[Дата начала]]="", Линия5[[#This Row],[Длительность]]=""), 1/0, Линия5[[#This Row],[Дата начала]]+Линия5[[#This Row],[Длительность]]), "")</f>
        <v>46063.126893939392</v>
      </c>
      <c r="C64" s="28">
        <f t="shared" si="0"/>
        <v>6.25E-2</v>
      </c>
      <c r="D64" s="29"/>
      <c r="E64" s="29" t="s">
        <v>153</v>
      </c>
      <c r="F64" s="29"/>
      <c r="G64" s="29"/>
      <c r="H64" s="48" t="str">
        <f>IFERROR(Линия5[[#This Row],[Количество]]/Линия5[[#This Row],[Шт. в поддоне]], "")</f>
        <v/>
      </c>
    </row>
    <row r="65" spans="1:8" ht="13.8" hidden="1" x14ac:dyDescent="0.25">
      <c r="A65" s="44">
        <f t="shared" si="1"/>
        <v>46063.126893939392</v>
      </c>
      <c r="B65" s="47">
        <f>IFERROR(IF(OR(Линия5[[#This Row],[Дата начала]]="", Линия5[[#This Row],[Длительность]]=""), 1/0, Линия5[[#This Row],[Дата начала]]+Линия5[[#This Row],[Длительность]]), "")</f>
        <v>46063.268939393936</v>
      </c>
      <c r="C65" s="28">
        <f t="shared" si="0"/>
        <v>0.14204545454545456</v>
      </c>
      <c r="D65" s="29">
        <v>2200</v>
      </c>
      <c r="E65" s="29" t="s">
        <v>294</v>
      </c>
      <c r="F65" s="29">
        <v>7500</v>
      </c>
      <c r="G65" s="29">
        <v>384</v>
      </c>
      <c r="H65" s="48">
        <f>IFERROR(Линия5[[#This Row],[Количество]]/Линия5[[#This Row],[Шт. в поддоне]], "")</f>
        <v>19.53125</v>
      </c>
    </row>
    <row r="66" spans="1:8" ht="13.8" hidden="1" x14ac:dyDescent="0.25">
      <c r="A66" s="44">
        <f t="shared" si="1"/>
        <v>46063.268939393936</v>
      </c>
      <c r="B66" s="47">
        <f>IFERROR(IF(OR(Линия5[[#This Row],[Дата начала]]="", Линия5[[#This Row],[Длительность]]=""), 1/0, Линия5[[#This Row],[Дата начала]]+Линия5[[#This Row],[Длительность]]), "")</f>
        <v>46063.282828282827</v>
      </c>
      <c r="C66" s="28">
        <f t="shared" si="0"/>
        <v>1.3888888888888888E-2</v>
      </c>
      <c r="D66" s="29"/>
      <c r="E66" s="29" t="s">
        <v>197</v>
      </c>
      <c r="F66" s="29"/>
      <c r="G66" s="29"/>
      <c r="H66" s="48" t="str">
        <f>IFERROR(Линия5[[#This Row],[Количество]]/Линия5[[#This Row],[Шт. в поддоне]], "")</f>
        <v/>
      </c>
    </row>
    <row r="67" spans="1:8" ht="13.8" hidden="1" x14ac:dyDescent="0.25">
      <c r="A67" s="44">
        <f t="shared" si="1"/>
        <v>46063.282828282827</v>
      </c>
      <c r="B67" s="47">
        <f>IFERROR(IF(OR(Линия5[[#This Row],[Дата начала]]="", Линия5[[#This Row],[Длительность]]=""), 1/0, Линия5[[#This Row],[Дата начала]]+Линия5[[#This Row],[Длительность]]), "")</f>
        <v>46063.566919191915</v>
      </c>
      <c r="C67" s="28">
        <f t="shared" ref="C67:C130" si="2">IF(E67="Вытеснение",TIME(0,30,0),
IF(E67="Передача смены",TIME(0,20,0),
IF(E67="Запуск",TIME(0,30,0),
IF(E67="Смена ассортимента",TIME(0,15,0),
IF(E67="Переналадка формата",TIME(5,0,0),
IF(E67="CIP 1",TIME(0,20,0),
IF(E67="CIP 2",TIME(1,30,0),
IF(E67="CIP 3",TIME(3,20,0),
IF(AND(ISNUMBER(F67),ISNUMBER(D67),D67&gt;0),F67/D67/24,"Ошибка")))))))))</f>
        <v>0.28409090909090912</v>
      </c>
      <c r="D67" s="29">
        <v>2200</v>
      </c>
      <c r="E67" s="29" t="s">
        <v>295</v>
      </c>
      <c r="F67" s="29">
        <v>15000</v>
      </c>
      <c r="G67" s="29">
        <v>384</v>
      </c>
      <c r="H67" s="48">
        <f>IFERROR(Линия5[[#This Row],[Количество]]/Линия5[[#This Row],[Шт. в поддоне]], "")</f>
        <v>39.0625</v>
      </c>
    </row>
    <row r="68" spans="1:8" ht="13.8" hidden="1" x14ac:dyDescent="0.25">
      <c r="A68" s="44">
        <f t="shared" ref="A68:A130" si="3">B67</f>
        <v>46063.566919191915</v>
      </c>
      <c r="B68" s="47">
        <f>IFERROR(IF(OR(Линия5[[#This Row],[Дата начала]]="", Линия5[[#This Row],[Длительность]]=""), 1/0, Линия5[[#This Row],[Дата начала]]+Линия5[[#This Row],[Длительность]]), "")</f>
        <v>46063.580808080806</v>
      </c>
      <c r="C68" s="28">
        <f t="shared" si="2"/>
        <v>1.3888888888888888E-2</v>
      </c>
      <c r="D68" s="29"/>
      <c r="E68" s="29" t="s">
        <v>197</v>
      </c>
      <c r="F68" s="29"/>
      <c r="G68" s="29"/>
      <c r="H68" s="48" t="str">
        <f>IFERROR(Линия5[[#This Row],[Количество]]/Линия5[[#This Row],[Шт. в поддоне]], "")</f>
        <v/>
      </c>
    </row>
    <row r="69" spans="1:8" ht="13.8" hidden="1" x14ac:dyDescent="0.25">
      <c r="A69" s="44">
        <f t="shared" si="3"/>
        <v>46063.580808080806</v>
      </c>
      <c r="B69" s="47">
        <f>IFERROR(IF(OR(Линия5[[#This Row],[Дата начала]]="", Линия5[[#This Row],[Длительность]]=""), 1/0, Линия5[[#This Row],[Дата начала]]+Линия5[[#This Row],[Длительность]]), "")</f>
        <v>46063.694444444445</v>
      </c>
      <c r="C69" s="28">
        <f t="shared" si="2"/>
        <v>0.11363636363636363</v>
      </c>
      <c r="D69" s="29">
        <v>2200</v>
      </c>
      <c r="E69" s="29" t="s">
        <v>296</v>
      </c>
      <c r="F69" s="29">
        <v>6000</v>
      </c>
      <c r="G69" s="29">
        <v>384</v>
      </c>
      <c r="H69" s="48">
        <f>IFERROR(Линия5[[#This Row],[Количество]]/Линия5[[#This Row],[Шт. в поддоне]], "")</f>
        <v>15.625</v>
      </c>
    </row>
    <row r="70" spans="1:8" ht="13.8" hidden="1" x14ac:dyDescent="0.25">
      <c r="A70" s="44">
        <f t="shared" si="3"/>
        <v>46063.694444444445</v>
      </c>
      <c r="B70" s="47">
        <f>IFERROR(IF(OR(Линия5[[#This Row],[Дата начала]]="", Линия5[[#This Row],[Длительность]]=""), 1/0, Линия5[[#This Row],[Дата начала]]+Линия5[[#This Row],[Длительность]]), "")</f>
        <v>46063.708333333336</v>
      </c>
      <c r="C70" s="28">
        <f t="shared" si="2"/>
        <v>1.3888888888888888E-2</v>
      </c>
      <c r="D70" s="29"/>
      <c r="E70" s="29" t="s">
        <v>197</v>
      </c>
      <c r="F70" s="29"/>
      <c r="G70" s="29"/>
      <c r="H70" s="48" t="str">
        <f>IFERROR(Линия5[[#This Row],[Количество]]/Линия5[[#This Row],[Шт. в поддоне]], "")</f>
        <v/>
      </c>
    </row>
    <row r="71" spans="1:8" ht="13.8" hidden="1" x14ac:dyDescent="0.25">
      <c r="A71" s="44">
        <v>46064.333333333336</v>
      </c>
      <c r="B71" s="47">
        <f>IFERROR(IF(OR(Линия5[[#This Row],[Дата начала]]="", Линия5[[#This Row],[Длительность]]=""), 1/0, Линия5[[#This Row],[Дата начала]]+Линия5[[#This Row],[Длительность]]), "")</f>
        <v>46064.617424242424</v>
      </c>
      <c r="C71" s="28">
        <f t="shared" si="2"/>
        <v>0.28409090909090912</v>
      </c>
      <c r="D71" s="29">
        <v>2200</v>
      </c>
      <c r="E71" s="29" t="s">
        <v>297</v>
      </c>
      <c r="F71" s="29">
        <v>15000</v>
      </c>
      <c r="G71" s="29">
        <v>384</v>
      </c>
      <c r="H71" s="48">
        <f>IFERROR(Линия5[[#This Row],[Количество]]/Линия5[[#This Row],[Шт. в поддоне]], "")</f>
        <v>39.0625</v>
      </c>
    </row>
    <row r="72" spans="1:8" ht="13.8" hidden="1" x14ac:dyDescent="0.25">
      <c r="A72" s="44">
        <f t="shared" si="3"/>
        <v>46064.617424242424</v>
      </c>
      <c r="B72" s="47">
        <f>IFERROR(IF(OR(Линия5[[#This Row],[Дата начала]]="", Линия5[[#This Row],[Длительность]]=""), 1/0, Линия5[[#This Row],[Дата начала]]+Линия5[[#This Row],[Длительность]]), "")</f>
        <v>46064.679924242424</v>
      </c>
      <c r="C72" s="28">
        <f t="shared" si="2"/>
        <v>6.25E-2</v>
      </c>
      <c r="D72" s="29"/>
      <c r="E72" s="29" t="s">
        <v>153</v>
      </c>
      <c r="F72" s="29"/>
      <c r="G72" s="29"/>
      <c r="H72" s="48" t="str">
        <f>IFERROR(Линия5[[#This Row],[Количество]]/Линия5[[#This Row],[Шт. в поддоне]], "")</f>
        <v/>
      </c>
    </row>
    <row r="73" spans="1:8" ht="13.8" hidden="1" x14ac:dyDescent="0.25">
      <c r="A73" s="44">
        <f t="shared" si="3"/>
        <v>46064.679924242424</v>
      </c>
      <c r="B73" s="47">
        <f>IFERROR(IF(OR(Линия5[[#This Row],[Дата начала]]="", Линия5[[#This Row],[Длительность]]=""), 1/0, Линия5[[#This Row],[Дата начала]]+Линия5[[#This Row],[Длительность]]), "")</f>
        <v>46064.73674242424</v>
      </c>
      <c r="C73" s="28">
        <f t="shared" si="2"/>
        <v>5.6818181818181816E-2</v>
      </c>
      <c r="D73" s="29">
        <v>2200</v>
      </c>
      <c r="E73" s="29" t="s">
        <v>298</v>
      </c>
      <c r="F73" s="29">
        <v>3000</v>
      </c>
      <c r="G73" s="29">
        <v>384</v>
      </c>
      <c r="H73" s="48">
        <f>IFERROR(Линия5[[#This Row],[Количество]]/Линия5[[#This Row],[Шт. в поддоне]], "")</f>
        <v>7.8125</v>
      </c>
    </row>
    <row r="74" spans="1:8" ht="13.8" hidden="1" x14ac:dyDescent="0.25">
      <c r="A74" s="44">
        <f t="shared" si="3"/>
        <v>46064.73674242424</v>
      </c>
      <c r="B74" s="47">
        <f>IFERROR(IF(OR(Линия5[[#This Row],[Дата начала]]="", Линия5[[#This Row],[Длительность]]=""), 1/0, Линия5[[#This Row],[Дата начала]]+Линия5[[#This Row],[Длительность]]), "")</f>
        <v>46064.750631313131</v>
      </c>
      <c r="C74" s="28">
        <f t="shared" si="2"/>
        <v>1.3888888888888888E-2</v>
      </c>
      <c r="D74" s="29"/>
      <c r="E74" s="29" t="s">
        <v>197</v>
      </c>
      <c r="F74" s="29"/>
      <c r="G74" s="29"/>
      <c r="H74" s="48" t="str">
        <f>IFERROR(Линия5[[#This Row],[Количество]]/Линия5[[#This Row],[Шт. в поддоне]], "")</f>
        <v/>
      </c>
    </row>
    <row r="75" spans="1:8" ht="13.8" hidden="1" x14ac:dyDescent="0.25">
      <c r="A75" s="44">
        <f t="shared" si="3"/>
        <v>46064.750631313131</v>
      </c>
      <c r="B75" s="47">
        <f>IFERROR(IF(OR(Линия5[[#This Row],[Дата начала]]="", Линия5[[#This Row],[Длительность]]=""), 1/0, Линия5[[#This Row],[Дата начала]]+Линия5[[#This Row],[Длительность]]), "")</f>
        <v>46064.807449494947</v>
      </c>
      <c r="C75" s="28">
        <f t="shared" si="2"/>
        <v>5.6818181818181816E-2</v>
      </c>
      <c r="D75" s="29">
        <v>2200</v>
      </c>
      <c r="E75" s="29" t="s">
        <v>299</v>
      </c>
      <c r="F75" s="29">
        <v>3000</v>
      </c>
      <c r="G75" s="29">
        <v>384</v>
      </c>
      <c r="H75" s="48">
        <f>IFERROR(Линия5[[#This Row],[Количество]]/Линия5[[#This Row],[Шт. в поддоне]], "")</f>
        <v>7.8125</v>
      </c>
    </row>
    <row r="76" spans="1:8" ht="13.8" hidden="1" x14ac:dyDescent="0.25">
      <c r="A76" s="44">
        <f t="shared" si="3"/>
        <v>46064.807449494947</v>
      </c>
      <c r="B76" s="47">
        <f>IFERROR(IF(OR(Линия5[[#This Row],[Дата начала]]="", Линия5[[#This Row],[Длительность]]=""), 1/0, Линия5[[#This Row],[Дата начала]]+Линия5[[#This Row],[Длительность]]), "")</f>
        <v>46064.821338383837</v>
      </c>
      <c r="C76" s="28">
        <f t="shared" si="2"/>
        <v>1.3888888888888888E-2</v>
      </c>
      <c r="D76" s="29"/>
      <c r="E76" s="29" t="s">
        <v>197</v>
      </c>
      <c r="F76" s="29"/>
      <c r="G76" s="29"/>
      <c r="H76" s="48" t="str">
        <f>IFERROR(Линия5[[#This Row],[Количество]]/Линия5[[#This Row],[Шт. в поддоне]], "")</f>
        <v/>
      </c>
    </row>
    <row r="77" spans="1:8" ht="13.8" hidden="1" x14ac:dyDescent="0.25">
      <c r="A77" s="44">
        <f t="shared" si="3"/>
        <v>46064.821338383837</v>
      </c>
      <c r="B77" s="47">
        <f>IFERROR(IF(OR(Линия5[[#This Row],[Дата начала]]="", Линия5[[#This Row],[Длительность]]=""), 1/0, Линия5[[#This Row],[Дата начала]]+Линия5[[#This Row],[Длительность]]), "")</f>
        <v>46064.906565656565</v>
      </c>
      <c r="C77" s="28">
        <f t="shared" si="2"/>
        <v>8.5227272727272721E-2</v>
      </c>
      <c r="D77" s="29">
        <v>2200</v>
      </c>
      <c r="E77" s="29" t="s">
        <v>300</v>
      </c>
      <c r="F77" s="29">
        <v>4500</v>
      </c>
      <c r="G77" s="29">
        <v>384</v>
      </c>
      <c r="H77" s="48">
        <f>IFERROR(Линия5[[#This Row],[Количество]]/Линия5[[#This Row],[Шт. в поддоне]], "")</f>
        <v>11.71875</v>
      </c>
    </row>
    <row r="78" spans="1:8" ht="13.8" hidden="1" x14ac:dyDescent="0.25">
      <c r="A78" s="44">
        <f t="shared" si="3"/>
        <v>46064.906565656565</v>
      </c>
      <c r="B78" s="47">
        <f>IFERROR(IF(OR(Линия5[[#This Row],[Дата начала]]="", Линия5[[#This Row],[Длительность]]=""), 1/0, Линия5[[#This Row],[Дата начала]]+Линия5[[#This Row],[Длительность]]), "")</f>
        <v>46064.920454545456</v>
      </c>
      <c r="C78" s="28">
        <f t="shared" si="2"/>
        <v>1.3888888888888888E-2</v>
      </c>
      <c r="D78" s="29"/>
      <c r="E78" s="29" t="s">
        <v>197</v>
      </c>
      <c r="F78" s="29"/>
      <c r="G78" s="29"/>
      <c r="H78" s="48" t="str">
        <f>IFERROR(Линия5[[#This Row],[Количество]]/Линия5[[#This Row],[Шт. в поддоне]], "")</f>
        <v/>
      </c>
    </row>
    <row r="79" spans="1:8" ht="13.8" hidden="1" x14ac:dyDescent="0.25">
      <c r="A79" s="44">
        <f t="shared" si="3"/>
        <v>46064.920454545456</v>
      </c>
      <c r="B79" s="47">
        <f>IFERROR(IF(OR(Линия5[[#This Row],[Дата начала]]="", Линия5[[#This Row],[Длительность]]=""), 1/0, Линия5[[#This Row],[Дата начала]]+Линия5[[#This Row],[Длительность]]), "")</f>
        <v>46065.005681818184</v>
      </c>
      <c r="C79" s="28">
        <f t="shared" si="2"/>
        <v>8.5227272727272721E-2</v>
      </c>
      <c r="D79" s="29">
        <v>2200</v>
      </c>
      <c r="E79" s="29" t="s">
        <v>279</v>
      </c>
      <c r="F79" s="29">
        <v>4500</v>
      </c>
      <c r="G79" s="29">
        <v>384</v>
      </c>
      <c r="H79" s="48">
        <f>IFERROR(Линия5[[#This Row],[Количество]]/Линия5[[#This Row],[Шт. в поддоне]], "")</f>
        <v>11.71875</v>
      </c>
    </row>
    <row r="80" spans="1:8" ht="13.8" hidden="1" x14ac:dyDescent="0.25">
      <c r="A80" s="44">
        <f t="shared" si="3"/>
        <v>46065.005681818184</v>
      </c>
      <c r="B80" s="47">
        <f>IFERROR(IF(OR(Линия5[[#This Row],[Дата начала]]="", Линия5[[#This Row],[Длительность]]=""), 1/0, Линия5[[#This Row],[Дата начала]]+Линия5[[#This Row],[Длительность]]), "")</f>
        <v>46065.019570707074</v>
      </c>
      <c r="C80" s="28">
        <f t="shared" si="2"/>
        <v>1.3888888888888888E-2</v>
      </c>
      <c r="D80" s="29"/>
      <c r="E80" s="29" t="s">
        <v>197</v>
      </c>
      <c r="F80" s="29"/>
      <c r="G80" s="29"/>
      <c r="H80" s="48" t="str">
        <f>IFERROR(Линия5[[#This Row],[Количество]]/Линия5[[#This Row],[Шт. в поддоне]], "")</f>
        <v/>
      </c>
    </row>
    <row r="81" spans="1:8" ht="13.8" hidden="1" x14ac:dyDescent="0.25">
      <c r="A81" s="44">
        <f t="shared" si="3"/>
        <v>46065.019570707074</v>
      </c>
      <c r="B81" s="47">
        <f>IFERROR(IF(OR(Линия5[[#This Row],[Дата начала]]="", Линия5[[#This Row],[Длительность]]=""), 1/0, Линия5[[#This Row],[Дата начала]]+Линия5[[#This Row],[Длительность]]), "")</f>
        <v>46065.104797979802</v>
      </c>
      <c r="C81" s="28">
        <f t="shared" si="2"/>
        <v>8.5227272727272721E-2</v>
      </c>
      <c r="D81" s="29">
        <v>2200</v>
      </c>
      <c r="E81" s="29" t="s">
        <v>301</v>
      </c>
      <c r="F81" s="29">
        <v>4500</v>
      </c>
      <c r="G81" s="29">
        <v>384</v>
      </c>
      <c r="H81" s="48">
        <f>IFERROR(Линия5[[#This Row],[Количество]]/Линия5[[#This Row],[Шт. в поддоне]], "")</f>
        <v>11.71875</v>
      </c>
    </row>
    <row r="82" spans="1:8" ht="13.8" hidden="1" x14ac:dyDescent="0.25">
      <c r="A82" s="44">
        <f t="shared" si="3"/>
        <v>46065.104797979802</v>
      </c>
      <c r="B82" s="47">
        <f>IFERROR(IF(OR(Линия5[[#This Row],[Дата начала]]="", Линия5[[#This Row],[Длительность]]=""), 1/0, Линия5[[#This Row],[Дата начала]]+Линия5[[#This Row],[Длительность]]), "")</f>
        <v>46065.167297979802</v>
      </c>
      <c r="C82" s="28">
        <f t="shared" si="2"/>
        <v>6.25E-2</v>
      </c>
      <c r="D82" s="29"/>
      <c r="E82" s="29" t="s">
        <v>153</v>
      </c>
      <c r="F82" s="29"/>
      <c r="G82" s="29"/>
      <c r="H82" s="48" t="str">
        <f>IFERROR(Линия5[[#This Row],[Количество]]/Линия5[[#This Row],[Шт. в поддоне]], "")</f>
        <v/>
      </c>
    </row>
    <row r="83" spans="1:8" ht="13.8" hidden="1" x14ac:dyDescent="0.25">
      <c r="A83" s="44">
        <f t="shared" si="3"/>
        <v>46065.167297979802</v>
      </c>
      <c r="B83" s="47">
        <f>IFERROR(IF(OR(Линия5[[#This Row],[Дата начала]]="", Линия5[[#This Row],[Длительность]]=""), 1/0, Линия5[[#This Row],[Дата начала]]+Линия5[[#This Row],[Длительность]]), "")</f>
        <v>46065.451388888891</v>
      </c>
      <c r="C83" s="28">
        <f t="shared" si="2"/>
        <v>0.28409090909090912</v>
      </c>
      <c r="D83" s="29">
        <v>2200</v>
      </c>
      <c r="E83" s="29" t="s">
        <v>302</v>
      </c>
      <c r="F83" s="29">
        <v>15000</v>
      </c>
      <c r="G83" s="29">
        <v>384</v>
      </c>
      <c r="H83" s="48">
        <f>IFERROR(Линия5[[#This Row],[Количество]]/Линия5[[#This Row],[Шт. в поддоне]], "")</f>
        <v>39.0625</v>
      </c>
    </row>
    <row r="84" spans="1:8" ht="13.8" hidden="1" x14ac:dyDescent="0.25">
      <c r="A84" s="44">
        <f t="shared" si="3"/>
        <v>46065.451388888891</v>
      </c>
      <c r="B84" s="47">
        <f>IFERROR(IF(OR(Линия5[[#This Row],[Дата начала]]="", Линия5[[#This Row],[Длительность]]=""), 1/0, Линия5[[#This Row],[Дата начала]]+Линия5[[#This Row],[Длительность]]), "")</f>
        <v>46065.465277777781</v>
      </c>
      <c r="C84" s="28">
        <f t="shared" si="2"/>
        <v>1.3888888888888888E-2</v>
      </c>
      <c r="D84" s="29"/>
      <c r="E84" s="29" t="s">
        <v>197</v>
      </c>
      <c r="F84" s="29"/>
      <c r="G84" s="29"/>
      <c r="H84" s="48" t="str">
        <f>IFERROR(Линия5[[#This Row],[Количество]]/Линия5[[#This Row],[Шт. в поддоне]], "")</f>
        <v/>
      </c>
    </row>
    <row r="85" spans="1:8" ht="13.8" hidden="1" x14ac:dyDescent="0.25">
      <c r="A85" s="44">
        <f t="shared" si="3"/>
        <v>46065.465277777781</v>
      </c>
      <c r="B85" s="47">
        <f>IFERROR(IF(OR(Линия5[[#This Row],[Дата начала]]="", Линия5[[#This Row],[Длительность]]=""), 1/0, Линия5[[#This Row],[Дата начала]]+Линия5[[#This Row],[Длительность]]), "")</f>
        <v>46065.550505050509</v>
      </c>
      <c r="C85" s="28">
        <f t="shared" si="2"/>
        <v>8.5227272727272721E-2</v>
      </c>
      <c r="D85" s="29">
        <v>2200</v>
      </c>
      <c r="E85" s="29" t="s">
        <v>303</v>
      </c>
      <c r="F85" s="29">
        <v>4500</v>
      </c>
      <c r="G85" s="29">
        <v>384</v>
      </c>
      <c r="H85" s="48">
        <f>IFERROR(Линия5[[#This Row],[Количество]]/Линия5[[#This Row],[Шт. в поддоне]], "")</f>
        <v>11.71875</v>
      </c>
    </row>
    <row r="86" spans="1:8" ht="13.8" hidden="1" x14ac:dyDescent="0.25">
      <c r="A86" s="44">
        <f t="shared" si="3"/>
        <v>46065.550505050509</v>
      </c>
      <c r="B86" s="47">
        <f>IFERROR(IF(OR(Линия5[[#This Row],[Дата начала]]="", Линия5[[#This Row],[Длительность]]=""), 1/0, Линия5[[#This Row],[Дата начала]]+Линия5[[#This Row],[Длительность]]), "")</f>
        <v>46065.564393939399</v>
      </c>
      <c r="C86" s="28">
        <f t="shared" si="2"/>
        <v>1.3888888888888888E-2</v>
      </c>
      <c r="D86" s="29"/>
      <c r="E86" s="29" t="s">
        <v>197</v>
      </c>
      <c r="F86" s="29"/>
      <c r="G86" s="29"/>
      <c r="H86" s="48" t="str">
        <f>IFERROR(Линия5[[#This Row],[Количество]]/Линия5[[#This Row],[Шт. в поддоне]], "")</f>
        <v/>
      </c>
    </row>
    <row r="87" spans="1:8" ht="13.8" hidden="1" x14ac:dyDescent="0.25">
      <c r="A87" s="44" t="e">
        <f>#REF!</f>
        <v>#REF!</v>
      </c>
      <c r="B87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87" s="28">
        <f t="shared" si="2"/>
        <v>5.6818181818181816E-2</v>
      </c>
      <c r="D87" s="29">
        <v>2200</v>
      </c>
      <c r="E87" s="29" t="s">
        <v>304</v>
      </c>
      <c r="F87" s="29">
        <v>3000</v>
      </c>
      <c r="G87" s="29">
        <v>384</v>
      </c>
      <c r="H87" s="48">
        <f>IFERROR(Линия5[[#This Row],[Количество]]/Линия5[[#This Row],[Шт. в поддоне]], "")</f>
        <v>7.8125</v>
      </c>
    </row>
    <row r="88" spans="1:8" ht="13.8" hidden="1" x14ac:dyDescent="0.25">
      <c r="A88" s="44" t="str">
        <f t="shared" si="3"/>
        <v/>
      </c>
      <c r="B88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88" s="28">
        <f t="shared" si="2"/>
        <v>6.25E-2</v>
      </c>
      <c r="D88" s="29"/>
      <c r="E88" s="29" t="s">
        <v>153</v>
      </c>
      <c r="F88" s="29"/>
      <c r="G88" s="29"/>
      <c r="H88" s="48" t="str">
        <f>IFERROR(Линия5[[#This Row],[Количество]]/Линия5[[#This Row],[Шт. в поддоне]], "")</f>
        <v/>
      </c>
    </row>
    <row r="89" spans="1:8" ht="13.8" hidden="1" x14ac:dyDescent="0.25">
      <c r="A89" s="44" t="str">
        <f t="shared" si="3"/>
        <v/>
      </c>
      <c r="B89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89" s="28">
        <f t="shared" si="2"/>
        <v>5.6818181818181816E-2</v>
      </c>
      <c r="D89" s="29">
        <v>2200</v>
      </c>
      <c r="E89" s="29" t="s">
        <v>305</v>
      </c>
      <c r="F89" s="29">
        <v>3000</v>
      </c>
      <c r="G89" s="29">
        <v>384</v>
      </c>
      <c r="H89" s="48">
        <f>IFERROR(Линия5[[#This Row],[Количество]]/Линия5[[#This Row],[Шт. в поддоне]], "")</f>
        <v>7.8125</v>
      </c>
    </row>
    <row r="90" spans="1:8" ht="13.8" hidden="1" x14ac:dyDescent="0.25">
      <c r="A90" s="44" t="str">
        <f t="shared" si="3"/>
        <v/>
      </c>
      <c r="B90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90" s="28">
        <f t="shared" si="2"/>
        <v>1.3888888888888888E-2</v>
      </c>
      <c r="D90" s="29"/>
      <c r="E90" s="29" t="s">
        <v>197</v>
      </c>
      <c r="F90" s="29"/>
      <c r="G90" s="29"/>
      <c r="H90" s="48" t="str">
        <f>IFERROR(Линия5[[#This Row],[Количество]]/Линия5[[#This Row],[Шт. в поддоне]], "")</f>
        <v/>
      </c>
    </row>
    <row r="91" spans="1:8" ht="13.8" hidden="1" x14ac:dyDescent="0.25">
      <c r="A91" s="44">
        <v>46066.208333333336</v>
      </c>
      <c r="B91" s="47">
        <f>IFERROR(IF(OR(Линия5[[#This Row],[Дата начала]]="", Линия5[[#This Row],[Длительность]]=""), 1/0, Линия5[[#This Row],[Дата начала]]+Линия5[[#This Row],[Длительность]]), "")</f>
        <v>46066.265151515152</v>
      </c>
      <c r="C91" s="28">
        <f t="shared" si="2"/>
        <v>5.6818181818181816E-2</v>
      </c>
      <c r="D91" s="29">
        <v>2200</v>
      </c>
      <c r="E91" s="29" t="s">
        <v>306</v>
      </c>
      <c r="F91" s="29">
        <v>3000</v>
      </c>
      <c r="G91" s="29">
        <v>384</v>
      </c>
      <c r="H91" s="48">
        <f>IFERROR(Линия5[[#This Row],[Количество]]/Линия5[[#This Row],[Шт. в поддоне]], "")</f>
        <v>7.8125</v>
      </c>
    </row>
    <row r="92" spans="1:8" ht="13.8" hidden="1" x14ac:dyDescent="0.25">
      <c r="A92" s="44">
        <f t="shared" si="3"/>
        <v>46066.265151515152</v>
      </c>
      <c r="B92" s="47">
        <f>IFERROR(IF(OR(Линия5[[#This Row],[Дата начала]]="", Линия5[[#This Row],[Длительность]]=""), 1/0, Линия5[[#This Row],[Дата начала]]+Линия5[[#This Row],[Длительность]]), "")</f>
        <v>46066.279040404042</v>
      </c>
      <c r="C92" s="28">
        <f t="shared" si="2"/>
        <v>1.3888888888888888E-2</v>
      </c>
      <c r="D92" s="29"/>
      <c r="E92" s="29" t="s">
        <v>197</v>
      </c>
      <c r="F92" s="29"/>
      <c r="G92" s="29"/>
      <c r="H92" s="48" t="str">
        <f>IFERROR(Линия5[[#This Row],[Количество]]/Линия5[[#This Row],[Шт. в поддоне]], "")</f>
        <v/>
      </c>
    </row>
    <row r="93" spans="1:8" ht="13.8" hidden="1" x14ac:dyDescent="0.25">
      <c r="A93" s="44">
        <f t="shared" si="3"/>
        <v>46066.279040404042</v>
      </c>
      <c r="B93" s="47">
        <f>IFERROR(IF(OR(Линия5[[#This Row],[Дата начала]]="", Линия5[[#This Row],[Длительность]]=""), 1/0, Линия5[[#This Row],[Дата начала]]+Линия5[[#This Row],[Длительность]]), "")</f>
        <v>46066.335858585859</v>
      </c>
      <c r="C93" s="28">
        <f t="shared" si="2"/>
        <v>5.6818181818181816E-2</v>
      </c>
      <c r="D93" s="29">
        <v>2200</v>
      </c>
      <c r="E93" s="29" t="s">
        <v>307</v>
      </c>
      <c r="F93" s="29">
        <v>3000</v>
      </c>
      <c r="G93" s="29">
        <v>384</v>
      </c>
      <c r="H93" s="48">
        <f>IFERROR(Линия5[[#This Row],[Количество]]/Линия5[[#This Row],[Шт. в поддоне]], "")</f>
        <v>7.8125</v>
      </c>
    </row>
    <row r="94" spans="1:8" ht="13.8" hidden="1" x14ac:dyDescent="0.25">
      <c r="A94" s="44">
        <f t="shared" si="3"/>
        <v>46066.335858585859</v>
      </c>
      <c r="B94" s="47">
        <f>IFERROR(IF(OR(Линия5[[#This Row],[Дата начала]]="", Линия5[[#This Row],[Длительность]]=""), 1/0, Линия5[[#This Row],[Дата начала]]+Линия5[[#This Row],[Длительность]]), "")</f>
        <v>46066.349747474749</v>
      </c>
      <c r="C94" s="28">
        <f t="shared" si="2"/>
        <v>1.3888888888888888E-2</v>
      </c>
      <c r="D94" s="29"/>
      <c r="E94" s="29" t="s">
        <v>197</v>
      </c>
      <c r="F94" s="29"/>
      <c r="G94" s="29"/>
      <c r="H94" s="48" t="str">
        <f>IFERROR(Линия5[[#This Row],[Количество]]/Линия5[[#This Row],[Шт. в поддоне]], "")</f>
        <v/>
      </c>
    </row>
    <row r="95" spans="1:8" ht="13.8" hidden="1" x14ac:dyDescent="0.25">
      <c r="A95" s="44">
        <f t="shared" si="3"/>
        <v>46066.349747474749</v>
      </c>
      <c r="B95" s="47">
        <f>IFERROR(IF(OR(Линия5[[#This Row],[Дата начала]]="", Линия5[[#This Row],[Длительность]]=""), 1/0, Линия5[[#This Row],[Дата начала]]+Линия5[[#This Row],[Длительность]]), "")</f>
        <v>46066.406565656565</v>
      </c>
      <c r="C95" s="28">
        <f t="shared" si="2"/>
        <v>5.6818181818181816E-2</v>
      </c>
      <c r="D95" s="29">
        <v>2200</v>
      </c>
      <c r="E95" s="29" t="s">
        <v>308</v>
      </c>
      <c r="F95" s="29">
        <v>3000</v>
      </c>
      <c r="G95" s="29">
        <v>384</v>
      </c>
      <c r="H95" s="48">
        <f>IFERROR(Линия5[[#This Row],[Количество]]/Линия5[[#This Row],[Шт. в поддоне]], "")</f>
        <v>7.8125</v>
      </c>
    </row>
    <row r="96" spans="1:8" ht="13.8" hidden="1" x14ac:dyDescent="0.25">
      <c r="A96" s="44">
        <f t="shared" si="3"/>
        <v>46066.406565656565</v>
      </c>
      <c r="B96" s="47">
        <f>IFERROR(IF(OR(Линия5[[#This Row],[Дата начала]]="", Линия5[[#This Row],[Длительность]]=""), 1/0, Линия5[[#This Row],[Дата начала]]+Линия5[[#This Row],[Длительность]]), "")</f>
        <v>46066.420454545456</v>
      </c>
      <c r="C96" s="28">
        <f t="shared" si="2"/>
        <v>1.3888888888888888E-2</v>
      </c>
      <c r="D96" s="29"/>
      <c r="E96" s="29" t="s">
        <v>197</v>
      </c>
      <c r="F96" s="29"/>
      <c r="G96" s="29"/>
      <c r="H96" s="48" t="str">
        <f>IFERROR(Линия5[[#This Row],[Количество]]/Линия5[[#This Row],[Шт. в поддоне]], "")</f>
        <v/>
      </c>
    </row>
    <row r="97" spans="1:8" ht="13.8" hidden="1" x14ac:dyDescent="0.25">
      <c r="A97" s="44">
        <f t="shared" si="3"/>
        <v>46066.420454545456</v>
      </c>
      <c r="B97" s="47">
        <f>IFERROR(IF(OR(Линия5[[#This Row],[Дата начала]]="", Линия5[[#This Row],[Длительность]]=""), 1/0, Линия5[[#This Row],[Дата начала]]+Линия5[[#This Row],[Длительность]]), "")</f>
        <v>46066.477272727272</v>
      </c>
      <c r="C97" s="28">
        <f t="shared" si="2"/>
        <v>5.6818181818181816E-2</v>
      </c>
      <c r="D97" s="29">
        <v>2200</v>
      </c>
      <c r="E97" s="29" t="s">
        <v>309</v>
      </c>
      <c r="F97" s="29">
        <v>3000</v>
      </c>
      <c r="G97" s="29">
        <v>384</v>
      </c>
      <c r="H97" s="48">
        <f>IFERROR(Линия5[[#This Row],[Количество]]/Линия5[[#This Row],[Шт. в поддоне]], "")</f>
        <v>7.8125</v>
      </c>
    </row>
    <row r="98" spans="1:8" ht="13.8" hidden="1" x14ac:dyDescent="0.25">
      <c r="A98" s="44">
        <f t="shared" si="3"/>
        <v>46066.477272727272</v>
      </c>
      <c r="B98" s="47">
        <f>IFERROR(IF(OR(Линия5[[#This Row],[Дата начала]]="", Линия5[[#This Row],[Длительность]]=""), 1/0, Линия5[[#This Row],[Дата начала]]+Линия5[[#This Row],[Длительность]]), "")</f>
        <v>46066.491161616163</v>
      </c>
      <c r="C98" s="28">
        <f t="shared" si="2"/>
        <v>1.3888888888888888E-2</v>
      </c>
      <c r="D98" s="29"/>
      <c r="E98" s="29" t="s">
        <v>197</v>
      </c>
      <c r="F98" s="29"/>
      <c r="G98" s="29"/>
      <c r="H98" s="48" t="str">
        <f>IFERROR(Линия5[[#This Row],[Количество]]/Линия5[[#This Row],[Шт. в поддоне]], "")</f>
        <v/>
      </c>
    </row>
    <row r="99" spans="1:8" ht="13.8" hidden="1" x14ac:dyDescent="0.25">
      <c r="A99" s="44">
        <f t="shared" si="3"/>
        <v>46066.491161616163</v>
      </c>
      <c r="B99" s="47">
        <f>IFERROR(IF(OR(Линия5[[#This Row],[Дата начала]]="", Линия5[[#This Row],[Длительность]]=""), 1/0, Линия5[[#This Row],[Дата начала]]+Линия5[[#This Row],[Длительность]]), "")</f>
        <v>46066.547979797979</v>
      </c>
      <c r="C99" s="28">
        <f t="shared" si="2"/>
        <v>5.6818181818181816E-2</v>
      </c>
      <c r="D99" s="29">
        <v>2200</v>
      </c>
      <c r="E99" s="29" t="s">
        <v>310</v>
      </c>
      <c r="F99" s="29">
        <v>3000</v>
      </c>
      <c r="G99" s="29">
        <v>384</v>
      </c>
      <c r="H99" s="48">
        <f>IFERROR(Линия5[[#This Row],[Количество]]/Линия5[[#This Row],[Шт. в поддоне]], "")</f>
        <v>7.8125</v>
      </c>
    </row>
    <row r="100" spans="1:8" ht="13.8" hidden="1" x14ac:dyDescent="0.25">
      <c r="A100" s="44">
        <f t="shared" si="3"/>
        <v>46066.547979797979</v>
      </c>
      <c r="B100" s="47">
        <f>IFERROR(IF(OR(Линия5[[#This Row],[Дата начала]]="", Линия5[[#This Row],[Длительность]]=""), 1/0, Линия5[[#This Row],[Дата начала]]+Линия5[[#This Row],[Длительность]]), "")</f>
        <v>46066.561868686869</v>
      </c>
      <c r="C100" s="28">
        <f t="shared" si="2"/>
        <v>1.3888888888888888E-2</v>
      </c>
      <c r="D100" s="29"/>
      <c r="E100" s="29" t="s">
        <v>197</v>
      </c>
      <c r="F100" s="29"/>
      <c r="G100" s="29"/>
      <c r="H100" s="48" t="str">
        <f>IFERROR(Линия5[[#This Row],[Количество]]/Линия5[[#This Row],[Шт. в поддоне]], "")</f>
        <v/>
      </c>
    </row>
    <row r="101" spans="1:8" ht="13.8" hidden="1" x14ac:dyDescent="0.25">
      <c r="A101" s="44">
        <f t="shared" si="3"/>
        <v>46066.561868686869</v>
      </c>
      <c r="B101" s="47">
        <f>IFERROR(IF(OR(Линия5[[#This Row],[Дата начала]]="", Линия5[[#This Row],[Длительность]]=""), 1/0, Линия5[[#This Row],[Дата начала]]+Линия5[[#This Row],[Длительность]]), "")</f>
        <v>46066.618686868685</v>
      </c>
      <c r="C101" s="28">
        <f t="shared" si="2"/>
        <v>5.6818181818181816E-2</v>
      </c>
      <c r="D101" s="29">
        <v>2200</v>
      </c>
      <c r="E101" s="29" t="s">
        <v>311</v>
      </c>
      <c r="F101" s="29">
        <v>3000</v>
      </c>
      <c r="G101" s="29">
        <v>384</v>
      </c>
      <c r="H101" s="48">
        <f>IFERROR(Линия5[[#This Row],[Количество]]/Линия5[[#This Row],[Шт. в поддоне]], "")</f>
        <v>7.8125</v>
      </c>
    </row>
    <row r="102" spans="1:8" ht="13.8" hidden="1" x14ac:dyDescent="0.25">
      <c r="A102" s="44">
        <f t="shared" si="3"/>
        <v>46066.618686868685</v>
      </c>
      <c r="B102" s="47">
        <f>IFERROR(IF(OR(Линия5[[#This Row],[Дата начала]]="", Линия5[[#This Row],[Длительность]]=""), 1/0, Линия5[[#This Row],[Дата начала]]+Линия5[[#This Row],[Длительность]]), "")</f>
        <v>46066.681186868685</v>
      </c>
      <c r="C102" s="28">
        <f t="shared" si="2"/>
        <v>6.25E-2</v>
      </c>
      <c r="D102" s="29"/>
      <c r="E102" s="29" t="s">
        <v>153</v>
      </c>
      <c r="F102" s="29"/>
      <c r="G102" s="29"/>
      <c r="H102" s="48" t="str">
        <f>IFERROR(Линия5[[#This Row],[Количество]]/Линия5[[#This Row],[Шт. в поддоне]], "")</f>
        <v/>
      </c>
    </row>
    <row r="103" spans="1:8" ht="13.8" hidden="1" x14ac:dyDescent="0.25">
      <c r="A103" s="44">
        <f t="shared" si="3"/>
        <v>46066.681186868685</v>
      </c>
      <c r="B103" s="47">
        <f>IFERROR(IF(OR(Линия5[[#This Row],[Дата начала]]="", Линия5[[#This Row],[Длительность]]=""), 1/0, Линия5[[#This Row],[Дата начала]]+Линия5[[#This Row],[Длительность]]), "")</f>
        <v>46066.738005050502</v>
      </c>
      <c r="C103" s="28">
        <f t="shared" si="2"/>
        <v>5.6818181818181816E-2</v>
      </c>
      <c r="D103" s="29">
        <v>2200</v>
      </c>
      <c r="E103" s="29" t="s">
        <v>312</v>
      </c>
      <c r="F103" s="29">
        <v>3000</v>
      </c>
      <c r="G103" s="29">
        <v>384</v>
      </c>
      <c r="H103" s="48">
        <f>IFERROR(Линия5[[#This Row],[Количество]]/Линия5[[#This Row],[Шт. в поддоне]], "")</f>
        <v>7.8125</v>
      </c>
    </row>
    <row r="104" spans="1:8" ht="13.8" hidden="1" x14ac:dyDescent="0.25">
      <c r="A104" s="44">
        <f t="shared" si="3"/>
        <v>46066.738005050502</v>
      </c>
      <c r="B104" s="47">
        <f>IFERROR(IF(OR(Линия5[[#This Row],[Дата начала]]="", Линия5[[#This Row],[Длительность]]=""), 1/0, Линия5[[#This Row],[Дата начала]]+Линия5[[#This Row],[Длительность]]), "")</f>
        <v>46066.751893939392</v>
      </c>
      <c r="C104" s="28">
        <f t="shared" si="2"/>
        <v>1.3888888888888888E-2</v>
      </c>
      <c r="D104" s="29"/>
      <c r="E104" s="29" t="s">
        <v>197</v>
      </c>
      <c r="F104" s="29"/>
      <c r="G104" s="29"/>
      <c r="H104" s="48" t="str">
        <f>IFERROR(Линия5[[#This Row],[Количество]]/Линия5[[#This Row],[Шт. в поддоне]], "")</f>
        <v/>
      </c>
    </row>
    <row r="105" spans="1:8" ht="13.8" hidden="1" x14ac:dyDescent="0.25">
      <c r="A105" s="44">
        <f t="shared" si="3"/>
        <v>46066.751893939392</v>
      </c>
      <c r="B105" s="47">
        <f>IFERROR(IF(OR(Линия5[[#This Row],[Дата начала]]="", Линия5[[#This Row],[Длительность]]=""), 1/0, Линия5[[#This Row],[Дата начала]]+Линия5[[#This Row],[Длительность]]), "")</f>
        <v>46066.808712121208</v>
      </c>
      <c r="C105" s="28">
        <f t="shared" si="2"/>
        <v>5.6818181818181816E-2</v>
      </c>
      <c r="D105" s="29">
        <v>2200</v>
      </c>
      <c r="E105" s="29" t="s">
        <v>313</v>
      </c>
      <c r="F105" s="29">
        <v>3000</v>
      </c>
      <c r="G105" s="29">
        <v>384</v>
      </c>
      <c r="H105" s="48">
        <f>IFERROR(Линия5[[#This Row],[Количество]]/Линия5[[#This Row],[Шт. в поддоне]], "")</f>
        <v>7.8125</v>
      </c>
    </row>
    <row r="106" spans="1:8" ht="13.8" hidden="1" x14ac:dyDescent="0.25">
      <c r="A106" s="44">
        <f t="shared" si="3"/>
        <v>46066.808712121208</v>
      </c>
      <c r="B106" s="47">
        <f>IFERROR(IF(OR(Линия5[[#This Row],[Дата начала]]="", Линия5[[#This Row],[Длительность]]=""), 1/0, Линия5[[#This Row],[Дата начала]]+Линия5[[#This Row],[Длительность]]), "")</f>
        <v>46066.822601010099</v>
      </c>
      <c r="C106" s="28">
        <f t="shared" si="2"/>
        <v>1.3888888888888888E-2</v>
      </c>
      <c r="D106" s="29"/>
      <c r="E106" s="29" t="s">
        <v>197</v>
      </c>
      <c r="F106" s="29"/>
      <c r="G106" s="29"/>
      <c r="H106" s="48" t="str">
        <f>IFERROR(Линия5[[#This Row],[Количество]]/Линия5[[#This Row],[Шт. в поддоне]], "")</f>
        <v/>
      </c>
    </row>
    <row r="107" spans="1:8" ht="13.8" hidden="1" x14ac:dyDescent="0.25">
      <c r="A107" s="44">
        <f t="shared" si="3"/>
        <v>46066.822601010099</v>
      </c>
      <c r="B107" s="47">
        <f>IFERROR(IF(OR(Линия5[[#This Row],[Дата начала]]="", Линия5[[#This Row],[Длительность]]=""), 1/0, Линия5[[#This Row],[Дата начала]]+Линия5[[#This Row],[Длительность]]), "")</f>
        <v>46066.907828282827</v>
      </c>
      <c r="C107" s="28">
        <f t="shared" si="2"/>
        <v>8.5227272727272721E-2</v>
      </c>
      <c r="D107" s="29">
        <v>2200</v>
      </c>
      <c r="E107" s="29" t="s">
        <v>314</v>
      </c>
      <c r="F107" s="29">
        <v>4500</v>
      </c>
      <c r="G107" s="29">
        <v>384</v>
      </c>
      <c r="H107" s="48">
        <f>IFERROR(Линия5[[#This Row],[Количество]]/Линия5[[#This Row],[Шт. в поддоне]], "")</f>
        <v>11.71875</v>
      </c>
    </row>
    <row r="108" spans="1:8" ht="13.8" hidden="1" x14ac:dyDescent="0.25">
      <c r="A108" s="44">
        <f t="shared" si="3"/>
        <v>46066.907828282827</v>
      </c>
      <c r="B108" s="47">
        <f>IFERROR(IF(OR(Линия5[[#This Row],[Дата начала]]="", Линия5[[#This Row],[Длительность]]=""), 1/0, Линия5[[#This Row],[Дата начала]]+Линия5[[#This Row],[Длительность]]), "")</f>
        <v>46066.921717171717</v>
      </c>
      <c r="C108" s="28">
        <f t="shared" si="2"/>
        <v>1.3888888888888888E-2</v>
      </c>
      <c r="D108" s="29"/>
      <c r="E108" s="29" t="s">
        <v>197</v>
      </c>
      <c r="F108" s="29"/>
      <c r="G108" s="29"/>
      <c r="H108" s="48" t="str">
        <f>IFERROR(Линия5[[#This Row],[Количество]]/Линия5[[#This Row],[Шт. в поддоне]], "")</f>
        <v/>
      </c>
    </row>
    <row r="109" spans="1:8" ht="13.8" hidden="1" x14ac:dyDescent="0.25">
      <c r="A109" s="44">
        <f t="shared" si="3"/>
        <v>46066.921717171717</v>
      </c>
      <c r="B109" s="47">
        <f>IFERROR(IF(OR(Линия5[[#This Row],[Дата начала]]="", Линия5[[#This Row],[Длительность]]=""), 1/0, Линия5[[#This Row],[Дата начала]]+Линия5[[#This Row],[Длительность]]), "")</f>
        <v>46066.978535353534</v>
      </c>
      <c r="C109" s="28">
        <f t="shared" si="2"/>
        <v>5.6818181818181816E-2</v>
      </c>
      <c r="D109" s="29">
        <v>2200</v>
      </c>
      <c r="E109" s="29" t="s">
        <v>315</v>
      </c>
      <c r="F109" s="29">
        <v>3000</v>
      </c>
      <c r="G109" s="29">
        <v>384</v>
      </c>
      <c r="H109" s="48">
        <f>IFERROR(Линия5[[#This Row],[Количество]]/Линия5[[#This Row],[Шт. в поддоне]], "")</f>
        <v>7.8125</v>
      </c>
    </row>
    <row r="110" spans="1:8" ht="13.8" hidden="1" x14ac:dyDescent="0.25">
      <c r="A110" s="44">
        <f t="shared" si="3"/>
        <v>46066.978535353534</v>
      </c>
      <c r="B110" s="47">
        <f>IFERROR(IF(OR(Линия5[[#This Row],[Дата начала]]="", Линия5[[#This Row],[Длительность]]=""), 1/0, Линия5[[#This Row],[Дата начала]]+Линия5[[#This Row],[Длительность]]), "")</f>
        <v>46066.992424242424</v>
      </c>
      <c r="C110" s="28">
        <f t="shared" si="2"/>
        <v>1.3888888888888888E-2</v>
      </c>
      <c r="D110" s="29"/>
      <c r="E110" s="29" t="s">
        <v>197</v>
      </c>
      <c r="F110" s="29"/>
      <c r="G110" s="29"/>
      <c r="H110" s="48" t="str">
        <f>IFERROR(Линия5[[#This Row],[Количество]]/Линия5[[#This Row],[Шт. в поддоне]], "")</f>
        <v/>
      </c>
    </row>
    <row r="111" spans="1:8" ht="13.8" hidden="1" x14ac:dyDescent="0.25">
      <c r="A111" s="44">
        <f t="shared" si="3"/>
        <v>46066.992424242424</v>
      </c>
      <c r="B111" s="47">
        <f>IFERROR(IF(OR(Линия5[[#This Row],[Дата начала]]="", Линия5[[#This Row],[Длительность]]=""), 1/0, Линия5[[#This Row],[Дата начала]]+Линия5[[#This Row],[Длительность]]), "")</f>
        <v>46067.04924242424</v>
      </c>
      <c r="C111" s="28">
        <f t="shared" si="2"/>
        <v>5.6818181818181816E-2</v>
      </c>
      <c r="D111" s="29">
        <v>2200</v>
      </c>
      <c r="E111" s="29" t="s">
        <v>316</v>
      </c>
      <c r="F111" s="29">
        <v>3000</v>
      </c>
      <c r="G111" s="29">
        <v>384</v>
      </c>
      <c r="H111" s="48">
        <f>IFERROR(Линия5[[#This Row],[Количество]]/Линия5[[#This Row],[Шт. в поддоне]], "")</f>
        <v>7.8125</v>
      </c>
    </row>
    <row r="112" spans="1:8" ht="13.8" hidden="1" x14ac:dyDescent="0.25">
      <c r="A112" s="44">
        <f t="shared" si="3"/>
        <v>46067.04924242424</v>
      </c>
      <c r="B112" s="47">
        <f>IFERROR(IF(OR(Линия5[[#This Row],[Дата начала]]="", Линия5[[#This Row],[Длительность]]=""), 1/0, Линия5[[#This Row],[Дата начала]]+Линия5[[#This Row],[Длительность]]), "")</f>
        <v>46067.063131313131</v>
      </c>
      <c r="C112" s="28">
        <f t="shared" si="2"/>
        <v>1.3888888888888888E-2</v>
      </c>
      <c r="D112" s="29"/>
      <c r="E112" s="29" t="s">
        <v>197</v>
      </c>
      <c r="F112" s="29"/>
      <c r="G112" s="29"/>
      <c r="H112" s="48" t="str">
        <f>IFERROR(Линия5[[#This Row],[Количество]]/Линия5[[#This Row],[Шт. в поддоне]], "")</f>
        <v/>
      </c>
    </row>
    <row r="113" spans="1:8" ht="13.8" hidden="1" x14ac:dyDescent="0.25">
      <c r="A113" s="44">
        <f t="shared" si="3"/>
        <v>46067.063131313131</v>
      </c>
      <c r="B113" s="47">
        <f>IFERROR(IF(OR(Линия5[[#This Row],[Дата начала]]="", Линия5[[#This Row],[Длительность]]=""), 1/0, Линия5[[#This Row],[Дата начала]]+Линия5[[#This Row],[Длительность]]), "")</f>
        <v>46067.119949494947</v>
      </c>
      <c r="C113" s="28">
        <f t="shared" si="2"/>
        <v>5.6818181818181816E-2</v>
      </c>
      <c r="D113" s="29">
        <v>2200</v>
      </c>
      <c r="E113" s="29" t="s">
        <v>317</v>
      </c>
      <c r="F113" s="29">
        <v>3000</v>
      </c>
      <c r="G113" s="29">
        <v>384</v>
      </c>
      <c r="H113" s="48">
        <f>IFERROR(Линия5[[#This Row],[Количество]]/Линия5[[#This Row],[Шт. в поддоне]], "")</f>
        <v>7.8125</v>
      </c>
    </row>
    <row r="114" spans="1:8" ht="13.8" hidden="1" x14ac:dyDescent="0.25">
      <c r="A114" s="44">
        <f t="shared" si="3"/>
        <v>46067.119949494947</v>
      </c>
      <c r="B114" s="47">
        <f>IFERROR(IF(OR(Линия5[[#This Row],[Дата начала]]="", Линия5[[#This Row],[Длительность]]=""), 1/0, Линия5[[#This Row],[Дата начала]]+Линия5[[#This Row],[Длительность]]), "")</f>
        <v>46067.182449494947</v>
      </c>
      <c r="C114" s="28">
        <f t="shared" si="2"/>
        <v>6.25E-2</v>
      </c>
      <c r="D114" s="29"/>
      <c r="E114" s="29" t="s">
        <v>153</v>
      </c>
      <c r="F114" s="29"/>
      <c r="G114" s="29"/>
      <c r="H114" s="48" t="str">
        <f>IFERROR(Линия5[[#This Row],[Количество]]/Линия5[[#This Row],[Шт. в поддоне]], "")</f>
        <v/>
      </c>
    </row>
    <row r="115" spans="1:8" ht="13.8" hidden="1" x14ac:dyDescent="0.25">
      <c r="A115" s="44">
        <f t="shared" si="3"/>
        <v>46067.182449494947</v>
      </c>
      <c r="B115" s="47">
        <f>IFERROR(IF(OR(Линия5[[#This Row],[Дата начала]]="", Линия5[[#This Row],[Длительность]]=""), 1/0, Линия5[[#This Row],[Дата начала]]+Линия5[[#This Row],[Длительность]]), "")</f>
        <v>46067.324494949491</v>
      </c>
      <c r="C115" s="28">
        <f t="shared" si="2"/>
        <v>0.14204545454545456</v>
      </c>
      <c r="D115" s="29">
        <v>2200</v>
      </c>
      <c r="E115" s="29" t="s">
        <v>318</v>
      </c>
      <c r="F115" s="29">
        <v>7500</v>
      </c>
      <c r="G115" s="29">
        <v>384</v>
      </c>
      <c r="H115" s="48">
        <f>IFERROR(Линия5[[#This Row],[Количество]]/Линия5[[#This Row],[Шт. в поддоне]], "")</f>
        <v>19.53125</v>
      </c>
    </row>
    <row r="116" spans="1:8" ht="13.8" hidden="1" x14ac:dyDescent="0.25">
      <c r="A116" s="44">
        <f t="shared" si="3"/>
        <v>46067.324494949491</v>
      </c>
      <c r="B116" s="47">
        <f>IFERROR(IF(OR(Линия5[[#This Row],[Дата начала]]="", Линия5[[#This Row],[Длительность]]=""), 1/0, Линия5[[#This Row],[Дата начала]]+Линия5[[#This Row],[Длительность]]), "")</f>
        <v>46067.338383838382</v>
      </c>
      <c r="C116" s="28">
        <f t="shared" si="2"/>
        <v>1.3888888888888888E-2</v>
      </c>
      <c r="D116" s="29"/>
      <c r="E116" s="29" t="s">
        <v>197</v>
      </c>
      <c r="F116" s="29"/>
      <c r="G116" s="29"/>
      <c r="H116" s="48" t="str">
        <f>IFERROR(Линия5[[#This Row],[Количество]]/Линия5[[#This Row],[Шт. в поддоне]], "")</f>
        <v/>
      </c>
    </row>
    <row r="117" spans="1:8" ht="13.8" hidden="1" x14ac:dyDescent="0.25">
      <c r="A117" s="44">
        <f t="shared" si="3"/>
        <v>46067.338383838382</v>
      </c>
      <c r="B117" s="47">
        <f>IFERROR(IF(OR(Линия5[[#This Row],[Дата начала]]="", Линия5[[#This Row],[Длительность]]=""), 1/0, Линия5[[#This Row],[Дата начала]]+Линия5[[#This Row],[Длительность]]), "")</f>
        <v>46067.395202020198</v>
      </c>
      <c r="C117" s="28">
        <f t="shared" si="2"/>
        <v>5.6818181818181816E-2</v>
      </c>
      <c r="D117" s="29">
        <v>2200</v>
      </c>
      <c r="E117" s="29" t="s">
        <v>319</v>
      </c>
      <c r="F117" s="29">
        <v>3000</v>
      </c>
      <c r="G117" s="29">
        <v>384</v>
      </c>
      <c r="H117" s="48">
        <f>IFERROR(Линия5[[#This Row],[Количество]]/Линия5[[#This Row],[Шт. в поддоне]], "")</f>
        <v>7.8125</v>
      </c>
    </row>
    <row r="118" spans="1:8" ht="13.8" hidden="1" x14ac:dyDescent="0.25">
      <c r="A118" s="44">
        <f t="shared" si="3"/>
        <v>46067.395202020198</v>
      </c>
      <c r="B118" s="47">
        <f>IFERROR(IF(OR(Линия5[[#This Row],[Дата начала]]="", Линия5[[#This Row],[Длительность]]=""), 1/0, Линия5[[#This Row],[Дата начала]]+Линия5[[#This Row],[Длительность]]), "")</f>
        <v>46067.457702020198</v>
      </c>
      <c r="C118" s="28">
        <f t="shared" si="2"/>
        <v>6.25E-2</v>
      </c>
      <c r="D118" s="29"/>
      <c r="E118" s="29" t="s">
        <v>153</v>
      </c>
      <c r="F118" s="29"/>
      <c r="G118" s="29"/>
      <c r="H118" s="48" t="str">
        <f>IFERROR(Линия5[[#This Row],[Количество]]/Линия5[[#This Row],[Шт. в поддоне]], "")</f>
        <v/>
      </c>
    </row>
    <row r="119" spans="1:8" ht="13.8" hidden="1" x14ac:dyDescent="0.25">
      <c r="A119" s="44">
        <f t="shared" si="3"/>
        <v>46067.457702020198</v>
      </c>
      <c r="B119" s="47">
        <f>IFERROR(IF(OR(Линия5[[#This Row],[Дата начала]]="", Линия5[[#This Row],[Длительность]]=""), 1/0, Линия5[[#This Row],[Дата начала]]+Линия5[[#This Row],[Длительность]]), "")</f>
        <v>46067.542929292926</v>
      </c>
      <c r="C119" s="28">
        <f t="shared" si="2"/>
        <v>8.5227272727272721E-2</v>
      </c>
      <c r="D119" s="29">
        <v>2200</v>
      </c>
      <c r="E119" s="29" t="s">
        <v>320</v>
      </c>
      <c r="F119" s="29">
        <v>4500</v>
      </c>
      <c r="G119" s="29">
        <v>384</v>
      </c>
      <c r="H119" s="48">
        <f>IFERROR(Линия5[[#This Row],[Количество]]/Линия5[[#This Row],[Шт. в поддоне]], "")</f>
        <v>11.71875</v>
      </c>
    </row>
    <row r="120" spans="1:8" ht="13.8" hidden="1" x14ac:dyDescent="0.25">
      <c r="A120" s="44">
        <f t="shared" si="3"/>
        <v>46067.542929292926</v>
      </c>
      <c r="B120" s="47">
        <f>IFERROR(IF(OR(Линия5[[#This Row],[Дата начала]]="", Линия5[[#This Row],[Длительность]]=""), 1/0, Линия5[[#This Row],[Дата начала]]+Линия5[[#This Row],[Длительность]]), "")</f>
        <v>46067.681818181816</v>
      </c>
      <c r="C120" s="28">
        <f t="shared" si="2"/>
        <v>0.1388888888888889</v>
      </c>
      <c r="D120" s="34"/>
      <c r="E120" s="34" t="s">
        <v>158</v>
      </c>
      <c r="F120" s="34"/>
      <c r="G120" s="34"/>
      <c r="H120" s="48" t="str">
        <f>IFERROR(Линия5[[#This Row],[Количество]]/Линия5[[#This Row],[Шт. в поддоне]], "")</f>
        <v/>
      </c>
    </row>
    <row r="121" spans="1:8" ht="13.8" hidden="1" x14ac:dyDescent="0.25">
      <c r="A121" s="44">
        <f t="shared" si="3"/>
        <v>46067.681818181816</v>
      </c>
      <c r="B121" s="47">
        <f>IFERROR(IF(OR(Линия5[[#This Row],[Дата начала]]="", Линия5[[#This Row],[Длительность]]=""), 1/0, Линия5[[#This Row],[Дата начала]]+Линия5[[#This Row],[Длительность]]), "")</f>
        <v>46067.965909090904</v>
      </c>
      <c r="C121" s="28">
        <f t="shared" si="2"/>
        <v>0.28409090909090912</v>
      </c>
      <c r="D121" s="29">
        <v>2200</v>
      </c>
      <c r="E121" s="29" t="s">
        <v>276</v>
      </c>
      <c r="F121" s="29">
        <v>15000</v>
      </c>
      <c r="G121" s="29">
        <v>384</v>
      </c>
      <c r="H121" s="48">
        <f>IFERROR(Линия5[[#This Row],[Количество]]/Линия5[[#This Row],[Шт. в поддоне]], "")</f>
        <v>39.0625</v>
      </c>
    </row>
    <row r="122" spans="1:8" ht="13.8" hidden="1" x14ac:dyDescent="0.25">
      <c r="A122" s="44">
        <f t="shared" si="3"/>
        <v>46067.965909090904</v>
      </c>
      <c r="B122" s="47">
        <f>IFERROR(IF(OR(Линия5[[#This Row],[Дата начала]]="", Линия5[[#This Row],[Длительность]]=""), 1/0, Линия5[[#This Row],[Дата начала]]+Линия5[[#This Row],[Длительность]]), "")</f>
        <v>46067.979797979795</v>
      </c>
      <c r="C122" s="28">
        <f t="shared" si="2"/>
        <v>1.3888888888888888E-2</v>
      </c>
      <c r="D122" s="29"/>
      <c r="E122" s="29" t="s">
        <v>197</v>
      </c>
      <c r="F122" s="29"/>
      <c r="G122" s="29"/>
      <c r="H122" s="48" t="str">
        <f>IFERROR(Линия5[[#This Row],[Количество]]/Линия5[[#This Row],[Шт. в поддоне]], "")</f>
        <v/>
      </c>
    </row>
    <row r="123" spans="1:8" ht="13.8" hidden="1" x14ac:dyDescent="0.25">
      <c r="A123" s="44">
        <f t="shared" si="3"/>
        <v>46067.979797979795</v>
      </c>
      <c r="B123" s="47">
        <f>IFERROR(IF(OR(Линия5[[#This Row],[Дата начала]]="", Линия5[[#This Row],[Длительность]]=""), 1/0, Линия5[[#This Row],[Дата начала]]+Линия5[[#This Row],[Длительность]]), "")</f>
        <v>46068.065025252523</v>
      </c>
      <c r="C123" s="28">
        <f t="shared" si="2"/>
        <v>8.5227272727272721E-2</v>
      </c>
      <c r="D123" s="29">
        <v>2200</v>
      </c>
      <c r="E123" s="29" t="s">
        <v>321</v>
      </c>
      <c r="F123" s="29">
        <v>4500</v>
      </c>
      <c r="G123" s="29">
        <v>384</v>
      </c>
      <c r="H123" s="48">
        <f>IFERROR(Линия5[[#This Row],[Количество]]/Линия5[[#This Row],[Шт. в поддоне]], "")</f>
        <v>11.71875</v>
      </c>
    </row>
    <row r="124" spans="1:8" ht="13.8" hidden="1" x14ac:dyDescent="0.25">
      <c r="A124" s="44">
        <f t="shared" si="3"/>
        <v>46068.065025252523</v>
      </c>
      <c r="B124" s="47">
        <f>IFERROR(IF(OR(Линия5[[#This Row],[Дата начала]]="", Линия5[[#This Row],[Длительность]]=""), 1/0, Линия5[[#This Row],[Дата начала]]+Линия5[[#This Row],[Длительность]]), "")</f>
        <v>46068.127525252523</v>
      </c>
      <c r="C124" s="28">
        <f t="shared" si="2"/>
        <v>6.25E-2</v>
      </c>
      <c r="D124" s="29"/>
      <c r="E124" s="29" t="s">
        <v>153</v>
      </c>
      <c r="F124" s="29"/>
      <c r="G124" s="29"/>
      <c r="H124" s="48" t="str">
        <f>IFERROR(Линия5[[#This Row],[Количество]]/Линия5[[#This Row],[Шт. в поддоне]], "")</f>
        <v/>
      </c>
    </row>
    <row r="125" spans="1:8" ht="13.8" hidden="1" x14ac:dyDescent="0.25">
      <c r="A125" s="44">
        <f t="shared" si="3"/>
        <v>46068.127525252523</v>
      </c>
      <c r="B125" s="47">
        <f>IFERROR(IF(OR(Линия5[[#This Row],[Дата начала]]="", Линия5[[#This Row],[Длительность]]=""), 1/0, Линия5[[#This Row],[Дата начала]]+Линия5[[#This Row],[Длительность]]), "")</f>
        <v>46068.212752525251</v>
      </c>
      <c r="C125" s="28">
        <f t="shared" si="2"/>
        <v>8.5227272727272721E-2</v>
      </c>
      <c r="D125" s="29">
        <v>2200</v>
      </c>
      <c r="E125" s="29" t="s">
        <v>322</v>
      </c>
      <c r="F125" s="29">
        <v>4500</v>
      </c>
      <c r="G125" s="29">
        <v>384</v>
      </c>
      <c r="H125" s="48">
        <f>IFERROR(Линия5[[#This Row],[Количество]]/Линия5[[#This Row],[Шт. в поддоне]], "")</f>
        <v>11.71875</v>
      </c>
    </row>
    <row r="126" spans="1:8" ht="13.8" hidden="1" x14ac:dyDescent="0.25">
      <c r="A126" s="44">
        <f t="shared" si="3"/>
        <v>46068.212752525251</v>
      </c>
      <c r="B126" s="47">
        <f>IFERROR(IF(OR(Линия5[[#This Row],[Дата начала]]="", Линия5[[#This Row],[Длительность]]=""), 1/0, Линия5[[#This Row],[Дата начала]]+Линия5[[#This Row],[Длительность]]), "")</f>
        <v>46068.226641414141</v>
      </c>
      <c r="C126" s="28">
        <f t="shared" si="2"/>
        <v>1.3888888888888888E-2</v>
      </c>
      <c r="D126" s="29"/>
      <c r="E126" s="29" t="s">
        <v>197</v>
      </c>
      <c r="F126" s="29"/>
      <c r="G126" s="29"/>
      <c r="H126" s="48" t="str">
        <f>IFERROR(Линия5[[#This Row],[Количество]]/Линия5[[#This Row],[Шт. в поддоне]], "")</f>
        <v/>
      </c>
    </row>
    <row r="127" spans="1:8" ht="13.8" hidden="1" x14ac:dyDescent="0.25">
      <c r="A127" s="44">
        <f t="shared" si="3"/>
        <v>46068.226641414141</v>
      </c>
      <c r="B127" s="47">
        <f>IFERROR(IF(OR(Линия5[[#This Row],[Дата начала]]="", Линия5[[#This Row],[Длительность]]=""), 1/0, Линия5[[#This Row],[Дата начала]]+Линия5[[#This Row],[Длительность]]), "")</f>
        <v>46068.311868686869</v>
      </c>
      <c r="C127" s="28">
        <f t="shared" si="2"/>
        <v>8.5227272727272721E-2</v>
      </c>
      <c r="D127" s="29">
        <v>2200</v>
      </c>
      <c r="E127" s="80" t="s">
        <v>323</v>
      </c>
      <c r="F127" s="29">
        <v>4500</v>
      </c>
      <c r="G127" s="29">
        <v>384</v>
      </c>
      <c r="H127" s="48">
        <f>IFERROR(Линия5[[#This Row],[Количество]]/Линия5[[#This Row],[Шт. в поддоне]], "")</f>
        <v>11.71875</v>
      </c>
    </row>
    <row r="128" spans="1:8" ht="13.8" hidden="1" x14ac:dyDescent="0.25">
      <c r="A128" s="44">
        <f t="shared" si="3"/>
        <v>46068.311868686869</v>
      </c>
      <c r="B128" s="47">
        <f>IFERROR(IF(OR(Линия5[[#This Row],[Дата начала]]="", Линия5[[#This Row],[Длительность]]=""), 1/0, Линия5[[#This Row],[Дата начала]]+Линия5[[#This Row],[Длительность]]), "")</f>
        <v>46068.32575757576</v>
      </c>
      <c r="C128" s="28">
        <f t="shared" si="2"/>
        <v>1.3888888888888888E-2</v>
      </c>
      <c r="D128" s="29"/>
      <c r="E128" s="29" t="s">
        <v>197</v>
      </c>
      <c r="F128" s="29"/>
      <c r="G128" s="29"/>
      <c r="H128" s="48" t="str">
        <f>IFERROR(Линия5[[#This Row],[Количество]]/Линия5[[#This Row],[Шт. в поддоне]], "")</f>
        <v/>
      </c>
    </row>
    <row r="129" spans="1:8" ht="13.8" hidden="1" x14ac:dyDescent="0.25">
      <c r="A129" s="44">
        <f t="shared" si="3"/>
        <v>46068.32575757576</v>
      </c>
      <c r="B129" s="47">
        <f>IFERROR(IF(OR(Линия5[[#This Row],[Дата начала]]="", Линия5[[#This Row],[Длительность]]=""), 1/0, Линия5[[#This Row],[Дата начала]]+Линия5[[#This Row],[Длительность]]), "")</f>
        <v>46068.410984848488</v>
      </c>
      <c r="C129" s="28">
        <f t="shared" si="2"/>
        <v>8.5227272727272721E-2</v>
      </c>
      <c r="D129" s="29">
        <v>2200</v>
      </c>
      <c r="E129" s="29" t="s">
        <v>324</v>
      </c>
      <c r="F129" s="29">
        <v>4500</v>
      </c>
      <c r="G129" s="29">
        <v>384</v>
      </c>
      <c r="H129" s="48">
        <f>IFERROR(Линия5[[#This Row],[Количество]]/Линия5[[#This Row],[Шт. в поддоне]], "")</f>
        <v>11.71875</v>
      </c>
    </row>
    <row r="130" spans="1:8" ht="13.8" hidden="1" x14ac:dyDescent="0.25">
      <c r="A130" s="44">
        <f t="shared" si="3"/>
        <v>46068.410984848488</v>
      </c>
      <c r="B130" s="47">
        <f>IFERROR(IF(OR(Линия5[[#This Row],[Дата начала]]="", Линия5[[#This Row],[Длительность]]=""), 1/0, Линия5[[#This Row],[Дата начала]]+Линия5[[#This Row],[Длительность]]), "")</f>
        <v>46068.473484848488</v>
      </c>
      <c r="C130" s="28">
        <f t="shared" si="2"/>
        <v>6.25E-2</v>
      </c>
      <c r="D130" s="29"/>
      <c r="E130" s="29" t="s">
        <v>153</v>
      </c>
      <c r="F130" s="29"/>
      <c r="G130" s="29"/>
      <c r="H130" s="48" t="str">
        <f>IFERROR(Линия5[[#This Row],[Количество]]/Линия5[[#This Row],[Шт. в поддоне]], "")</f>
        <v/>
      </c>
    </row>
    <row r="131" spans="1:8" ht="13.8" hidden="1" x14ac:dyDescent="0.25">
      <c r="A131" s="44"/>
      <c r="B131" s="47"/>
      <c r="C131" s="28"/>
      <c r="D131" s="29"/>
      <c r="E131" s="29"/>
      <c r="F131" s="29"/>
      <c r="G131" s="29"/>
      <c r="H131" s="48"/>
    </row>
    <row r="132" spans="1:8" ht="13.8" hidden="1" x14ac:dyDescent="0.25">
      <c r="A132" s="44"/>
      <c r="B132" s="47"/>
      <c r="C132" s="28"/>
      <c r="D132" s="29"/>
      <c r="E132" s="29"/>
      <c r="F132" s="29"/>
      <c r="G132" s="29"/>
      <c r="H132" s="48"/>
    </row>
    <row r="133" spans="1:8" ht="13.8" hidden="1" x14ac:dyDescent="0.25">
      <c r="A133" s="44"/>
      <c r="B133" s="47"/>
      <c r="C133" s="28"/>
      <c r="D133" s="29"/>
      <c r="E133" s="29"/>
      <c r="F133" s="29"/>
      <c r="G133" s="29"/>
      <c r="H133" s="48"/>
    </row>
    <row r="134" spans="1:8" ht="13.8" hidden="1" x14ac:dyDescent="0.25">
      <c r="A134" s="44" t="e">
        <f>#REF!</f>
        <v>#REF!</v>
      </c>
      <c r="B134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4" s="28">
        <f t="shared" ref="C134:C197" si="4">IF(E134="Вытеснение",TIME(0,30,0),
IF(E134="Передача смены",TIME(0,20,0),
IF(E134="Запуск",TIME(0,30,0),
IF(E134="Смена ассортимента",TIME(0,15,0),
IF(E134="Переналадка формата",TIME(5,0,0),
IF(E134="CIP 1",TIME(0,20,0),
IF(E134="CIP 2",TIME(1,30,0),
IF(E134="CIP 3",TIME(3,20,0),
IF(AND(ISNUMBER(F134),ISNUMBER(D134),D134&gt;0),F134/D134/24,"Ошибка")))))))))</f>
        <v>1.3888888888888888E-2</v>
      </c>
      <c r="D134" s="29"/>
      <c r="E134" s="29" t="s">
        <v>197</v>
      </c>
      <c r="F134" s="29"/>
      <c r="G134" s="29"/>
      <c r="H134" s="48" t="str">
        <f>IFERROR(Линия5[[#This Row],[Количество]]/Линия5[[#This Row],[Шт. в поддоне]], "")</f>
        <v/>
      </c>
    </row>
    <row r="135" spans="1:8" ht="13.8" hidden="1" x14ac:dyDescent="0.25">
      <c r="A135" s="44" t="str">
        <f t="shared" ref="A135:A175" si="5">B134</f>
        <v/>
      </c>
      <c r="B135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5" s="28">
        <f t="shared" si="4"/>
        <v>5.6818181818181816E-2</v>
      </c>
      <c r="D135" s="29">
        <v>2200</v>
      </c>
      <c r="E135" s="29" t="s">
        <v>325</v>
      </c>
      <c r="F135" s="29">
        <v>3000</v>
      </c>
      <c r="G135" s="29">
        <v>384</v>
      </c>
      <c r="H135" s="48">
        <f>IFERROR(Линия5[[#This Row],[Количество]]/Линия5[[#This Row],[Шт. в поддоне]], "")</f>
        <v>7.8125</v>
      </c>
    </row>
    <row r="136" spans="1:8" ht="13.8" hidden="1" x14ac:dyDescent="0.25">
      <c r="A136" s="44" t="str">
        <f t="shared" si="5"/>
        <v/>
      </c>
      <c r="B136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6" s="28">
        <f t="shared" si="4"/>
        <v>1.3888888888888888E-2</v>
      </c>
      <c r="D136" s="29"/>
      <c r="E136" s="34" t="s">
        <v>197</v>
      </c>
      <c r="F136" s="34"/>
      <c r="G136" s="29"/>
      <c r="H136" s="48" t="str">
        <f>IFERROR(Линия5[[#This Row],[Количество]]/Линия5[[#This Row],[Шт. в поддоне]], "")</f>
        <v/>
      </c>
    </row>
    <row r="137" spans="1:8" ht="13.8" hidden="1" x14ac:dyDescent="0.25">
      <c r="A137" s="44" t="str">
        <f t="shared" si="5"/>
        <v/>
      </c>
      <c r="B137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7" s="28">
        <f t="shared" si="4"/>
        <v>5.6818181818181816E-2</v>
      </c>
      <c r="D137" s="29">
        <v>2200</v>
      </c>
      <c r="E137" s="29" t="s">
        <v>326</v>
      </c>
      <c r="F137" s="29">
        <v>3000</v>
      </c>
      <c r="G137" s="29">
        <v>384</v>
      </c>
      <c r="H137" s="48">
        <f>IFERROR(Линия5[[#This Row],[Количество]]/Линия5[[#This Row],[Шт. в поддоне]], "")</f>
        <v>7.8125</v>
      </c>
    </row>
    <row r="138" spans="1:8" ht="13.8" hidden="1" x14ac:dyDescent="0.25">
      <c r="A138" s="44" t="str">
        <f t="shared" si="5"/>
        <v/>
      </c>
      <c r="B138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8" s="28">
        <f t="shared" si="4"/>
        <v>0.1388888888888889</v>
      </c>
      <c r="D138" s="29"/>
      <c r="E138" s="29" t="s">
        <v>158</v>
      </c>
      <c r="F138" s="29"/>
      <c r="G138" s="29"/>
      <c r="H138" s="48" t="str">
        <f>IFERROR(Линия5[[#This Row],[Количество]]/Линия5[[#This Row],[Шт. в поддоне]], "")</f>
        <v/>
      </c>
    </row>
    <row r="139" spans="1:8" ht="13.8" hidden="1" x14ac:dyDescent="0.25">
      <c r="A139" s="44" t="str">
        <f t="shared" si="5"/>
        <v/>
      </c>
      <c r="B139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39" s="28">
        <f t="shared" si="4"/>
        <v>5.6818181818181816E-2</v>
      </c>
      <c r="D139" s="29">
        <v>2200</v>
      </c>
      <c r="E139" s="29" t="s">
        <v>327</v>
      </c>
      <c r="F139" s="29">
        <v>3000</v>
      </c>
      <c r="G139" s="29">
        <v>384</v>
      </c>
      <c r="H139" s="48">
        <f>IFERROR(Линия5[[#This Row],[Количество]]/Линия5[[#This Row],[Шт. в поддоне]], "")</f>
        <v>7.8125</v>
      </c>
    </row>
    <row r="140" spans="1:8" ht="13.8" hidden="1" x14ac:dyDescent="0.25">
      <c r="A140" s="44" t="str">
        <f t="shared" si="5"/>
        <v/>
      </c>
      <c r="B140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40" s="28">
        <f t="shared" si="4"/>
        <v>1.3888888888888888E-2</v>
      </c>
      <c r="D140" s="29"/>
      <c r="E140" s="29" t="s">
        <v>197</v>
      </c>
      <c r="F140" s="29"/>
      <c r="G140" s="29"/>
      <c r="H140" s="48" t="str">
        <f>IFERROR(Линия5[[#This Row],[Количество]]/Линия5[[#This Row],[Шт. в поддоне]], "")</f>
        <v/>
      </c>
    </row>
    <row r="141" spans="1:8" ht="13.8" hidden="1" x14ac:dyDescent="0.25">
      <c r="A141" s="44" t="str">
        <f t="shared" si="5"/>
        <v/>
      </c>
      <c r="B141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41" s="28">
        <f t="shared" si="4"/>
        <v>5.6818181818181816E-2</v>
      </c>
      <c r="D141" s="29">
        <v>2200</v>
      </c>
      <c r="E141" s="29" t="s">
        <v>328</v>
      </c>
      <c r="F141" s="29">
        <v>3000</v>
      </c>
      <c r="G141" s="29">
        <v>384</v>
      </c>
      <c r="H141" s="48">
        <f>IFERROR(Линия5[[#This Row],[Количество]]/Линия5[[#This Row],[Шт. в поддоне]], "")</f>
        <v>7.8125</v>
      </c>
    </row>
    <row r="142" spans="1:8" ht="13.8" hidden="1" x14ac:dyDescent="0.25">
      <c r="A142" s="44" t="str">
        <f t="shared" si="5"/>
        <v/>
      </c>
      <c r="B142" s="47" t="str">
        <f>IFERROR(IF(OR(Линия5[[#This Row],[Дата начала]]="", Линия5[[#This Row],[Длительность]]=""), 1/0, Линия5[[#This Row],[Дата начала]]+Линия5[[#This Row],[Длительность]]), "")</f>
        <v/>
      </c>
      <c r="C142" s="28">
        <f t="shared" si="4"/>
        <v>1.3888888888888888E-2</v>
      </c>
      <c r="D142" s="29"/>
      <c r="E142" s="29" t="s">
        <v>197</v>
      </c>
      <c r="F142" s="29"/>
      <c r="G142" s="29"/>
      <c r="H142" s="48" t="str">
        <f>IFERROR(Линия5[[#This Row],[Количество]]/Линия5[[#This Row],[Шт. в поддоне]], "")</f>
        <v/>
      </c>
    </row>
    <row r="143" spans="1:8" ht="13.8" hidden="1" x14ac:dyDescent="0.25">
      <c r="A143" s="44">
        <v>46069.431944444441</v>
      </c>
      <c r="B143" s="47">
        <f>IFERROR(IF(OR(Линия5[[#This Row],[Дата начала]]="", Линия5[[#This Row],[Длительность]]=""), 1/0, Линия5[[#This Row],[Дата начала]]+Линия5[[#This Row],[Длительность]]), "")</f>
        <v>46069.488762626257</v>
      </c>
      <c r="C143" s="28">
        <f t="shared" si="4"/>
        <v>5.6818181818181816E-2</v>
      </c>
      <c r="D143" s="29">
        <v>2200</v>
      </c>
      <c r="E143" s="29" t="s">
        <v>329</v>
      </c>
      <c r="F143" s="29">
        <v>3000</v>
      </c>
      <c r="G143" s="29">
        <v>384</v>
      </c>
      <c r="H143" s="48">
        <f>IFERROR(Линия5[[#This Row],[Количество]]/Линия5[[#This Row],[Шт. в поддоне]], "")</f>
        <v>7.8125</v>
      </c>
    </row>
    <row r="144" spans="1:8" ht="13.8" hidden="1" x14ac:dyDescent="0.25">
      <c r="A144" s="44">
        <f t="shared" si="5"/>
        <v>46069.488762626257</v>
      </c>
      <c r="B144" s="47">
        <f>IFERROR(IF(OR(Линия5[[#This Row],[Дата начала]]="", Линия5[[#This Row],[Длительность]]=""), 1/0, Линия5[[#This Row],[Дата начала]]+Линия5[[#This Row],[Длительность]]), "")</f>
        <v>46069.502651515148</v>
      </c>
      <c r="C144" s="28">
        <f t="shared" si="4"/>
        <v>1.3888888888888888E-2</v>
      </c>
      <c r="D144" s="29"/>
      <c r="E144" s="29" t="s">
        <v>197</v>
      </c>
      <c r="F144" s="29"/>
      <c r="G144" s="29"/>
      <c r="H144" s="48" t="str">
        <f>IFERROR(Линия5[[#This Row],[Количество]]/Линия5[[#This Row],[Шт. в поддоне]], "")</f>
        <v/>
      </c>
    </row>
    <row r="145" spans="1:8" ht="13.8" hidden="1" x14ac:dyDescent="0.25">
      <c r="A145" s="44">
        <f t="shared" si="5"/>
        <v>46069.502651515148</v>
      </c>
      <c r="B145" s="47">
        <f>IFERROR(IF(OR(Линия5[[#This Row],[Дата начала]]="", Линия5[[#This Row],[Длительность]]=""), 1/0, Линия5[[#This Row],[Дата начала]]+Линия5[[#This Row],[Длительность]]), "")</f>
        <v>46069.559469696964</v>
      </c>
      <c r="C145" s="28">
        <f t="shared" si="4"/>
        <v>5.6818181818181816E-2</v>
      </c>
      <c r="D145" s="29">
        <v>2200</v>
      </c>
      <c r="E145" s="29" t="s">
        <v>330</v>
      </c>
      <c r="F145" s="29">
        <v>3000</v>
      </c>
      <c r="G145" s="29">
        <v>384</v>
      </c>
      <c r="H145" s="48">
        <f>IFERROR(Линия5[[#This Row],[Количество]]/Линия5[[#This Row],[Шт. в поддоне]], "")</f>
        <v>7.8125</v>
      </c>
    </row>
    <row r="146" spans="1:8" ht="13.8" hidden="1" x14ac:dyDescent="0.25">
      <c r="A146" s="44">
        <f t="shared" si="5"/>
        <v>46069.559469696964</v>
      </c>
      <c r="B146" s="47">
        <f>IFERROR(IF(OR(Линия5[[#This Row],[Дата начала]]="", Линия5[[#This Row],[Длительность]]=""), 1/0, Линия5[[#This Row],[Дата начала]]+Линия5[[#This Row],[Длительность]]), "")</f>
        <v>46069.573358585854</v>
      </c>
      <c r="C146" s="28">
        <f t="shared" si="4"/>
        <v>1.3888888888888888E-2</v>
      </c>
      <c r="D146" s="29"/>
      <c r="E146" s="29" t="s">
        <v>197</v>
      </c>
      <c r="F146" s="29"/>
      <c r="G146" s="29"/>
      <c r="H146" s="48" t="str">
        <f>IFERROR(Линия5[[#This Row],[Количество]]/Линия5[[#This Row],[Шт. в поддоне]], "")</f>
        <v/>
      </c>
    </row>
    <row r="147" spans="1:8" ht="13.8" hidden="1" x14ac:dyDescent="0.25">
      <c r="A147" s="44">
        <f t="shared" si="5"/>
        <v>46069.573358585854</v>
      </c>
      <c r="B147" s="47">
        <f>IFERROR(IF(OR(Линия5[[#This Row],[Дата начала]]="", Линия5[[#This Row],[Длительность]]=""), 1/0, Линия5[[#This Row],[Дата начала]]+Линия5[[#This Row],[Длительность]]), "")</f>
        <v>46069.63017676767</v>
      </c>
      <c r="C147" s="28">
        <f t="shared" si="4"/>
        <v>5.6818181818181816E-2</v>
      </c>
      <c r="D147" s="29">
        <v>2200</v>
      </c>
      <c r="E147" s="29" t="s">
        <v>331</v>
      </c>
      <c r="F147" s="29">
        <v>3000</v>
      </c>
      <c r="G147" s="29">
        <v>384</v>
      </c>
      <c r="H147" s="48">
        <f>IFERROR(Линия5[[#This Row],[Количество]]/Линия5[[#This Row],[Шт. в поддоне]], "")</f>
        <v>7.8125</v>
      </c>
    </row>
    <row r="148" spans="1:8" ht="13.8" hidden="1" x14ac:dyDescent="0.25">
      <c r="A148" s="44">
        <f t="shared" si="5"/>
        <v>46069.63017676767</v>
      </c>
      <c r="B148" s="47">
        <f>IFERROR(IF(OR(Линия5[[#This Row],[Дата начала]]="", Линия5[[#This Row],[Длительность]]=""), 1/0, Линия5[[#This Row],[Дата начала]]+Линия5[[#This Row],[Длительность]]), "")</f>
        <v>46069.644065656561</v>
      </c>
      <c r="C148" s="28">
        <f t="shared" si="4"/>
        <v>1.3888888888888888E-2</v>
      </c>
      <c r="D148" s="29"/>
      <c r="E148" s="29" t="s">
        <v>197</v>
      </c>
      <c r="F148" s="29"/>
      <c r="G148" s="29"/>
      <c r="H148" s="48" t="str">
        <f>IFERROR(Линия5[[#This Row],[Количество]]/Линия5[[#This Row],[Шт. в поддоне]], "")</f>
        <v/>
      </c>
    </row>
    <row r="149" spans="1:8" ht="13.8" hidden="1" x14ac:dyDescent="0.25">
      <c r="A149" s="44">
        <f t="shared" si="5"/>
        <v>46069.644065656561</v>
      </c>
      <c r="B149" s="47">
        <f>IFERROR(IF(OR(Линия5[[#This Row],[Дата начала]]="", Линия5[[#This Row],[Длительность]]=""), 1/0, Линия5[[#This Row],[Дата начала]]+Линия5[[#This Row],[Длительность]]), "")</f>
        <v>46069.700883838377</v>
      </c>
      <c r="C149" s="28">
        <f t="shared" si="4"/>
        <v>5.6818181818181816E-2</v>
      </c>
      <c r="D149" s="29">
        <v>2200</v>
      </c>
      <c r="E149" s="29" t="s">
        <v>332</v>
      </c>
      <c r="F149" s="29">
        <v>3000</v>
      </c>
      <c r="G149" s="29">
        <v>384</v>
      </c>
      <c r="H149" s="48">
        <f>IFERROR(Линия5[[#This Row],[Количество]]/Линия5[[#This Row],[Шт. в поддоне]], "")</f>
        <v>7.8125</v>
      </c>
    </row>
    <row r="150" spans="1:8" ht="13.8" hidden="1" x14ac:dyDescent="0.25">
      <c r="A150" s="44">
        <f t="shared" si="5"/>
        <v>46069.700883838377</v>
      </c>
      <c r="B150" s="47">
        <f>IFERROR(IF(OR(Линия5[[#This Row],[Дата начала]]="", Линия5[[#This Row],[Длительность]]=""), 1/0, Линия5[[#This Row],[Дата начала]]+Линия5[[#This Row],[Длительность]]), "")</f>
        <v>46069.714772727268</v>
      </c>
      <c r="C150" s="28">
        <f t="shared" si="4"/>
        <v>1.3888888888888888E-2</v>
      </c>
      <c r="D150" s="29"/>
      <c r="E150" s="29" t="s">
        <v>197</v>
      </c>
      <c r="F150" s="29"/>
      <c r="G150" s="29"/>
      <c r="H150" s="48" t="str">
        <f>IFERROR(Линия5[[#This Row],[Количество]]/Линия5[[#This Row],[Шт. в поддоне]], "")</f>
        <v/>
      </c>
    </row>
    <row r="151" spans="1:8" ht="13.8" hidden="1" x14ac:dyDescent="0.25">
      <c r="A151" s="44">
        <f t="shared" si="5"/>
        <v>46069.714772727268</v>
      </c>
      <c r="B151" s="47">
        <f>IFERROR(IF(OR(Линия5[[#This Row],[Дата начала]]="", Линия5[[#This Row],[Длительность]]=""), 1/0, Линия5[[#This Row],[Дата начала]]+Линия5[[#This Row],[Длительность]]), "")</f>
        <v>46069.771590909084</v>
      </c>
      <c r="C151" s="28">
        <f t="shared" si="4"/>
        <v>5.6818181818181816E-2</v>
      </c>
      <c r="D151" s="29">
        <v>2200</v>
      </c>
      <c r="E151" s="29" t="s">
        <v>333</v>
      </c>
      <c r="F151" s="29">
        <v>3000</v>
      </c>
      <c r="G151" s="29">
        <v>384</v>
      </c>
      <c r="H151" s="48">
        <f>IFERROR(Линия5[[#This Row],[Количество]]/Линия5[[#This Row],[Шт. в поддоне]], "")</f>
        <v>7.8125</v>
      </c>
    </row>
    <row r="152" spans="1:8" ht="13.8" hidden="1" x14ac:dyDescent="0.25">
      <c r="A152" s="44">
        <f t="shared" si="5"/>
        <v>46069.771590909084</v>
      </c>
      <c r="B152" s="47">
        <f>IFERROR(IF(OR(Линия5[[#This Row],[Дата начала]]="", Линия5[[#This Row],[Длительность]]=""), 1/0, Линия5[[#This Row],[Дата начала]]+Линия5[[#This Row],[Длительность]]), "")</f>
        <v>46069.785479797974</v>
      </c>
      <c r="C152" s="28">
        <f t="shared" si="4"/>
        <v>1.3888888888888888E-2</v>
      </c>
      <c r="D152" s="29"/>
      <c r="E152" s="29" t="s">
        <v>197</v>
      </c>
      <c r="F152" s="29"/>
      <c r="G152" s="29"/>
      <c r="H152" s="48" t="str">
        <f>IFERROR(Линия5[[#This Row],[Количество]]/Линия5[[#This Row],[Шт. в поддоне]], "")</f>
        <v/>
      </c>
    </row>
    <row r="153" spans="1:8" ht="13.8" hidden="1" x14ac:dyDescent="0.25">
      <c r="A153" s="44">
        <f t="shared" si="5"/>
        <v>46069.785479797974</v>
      </c>
      <c r="B153" s="47">
        <f>IFERROR(IF(OR(Линия5[[#This Row],[Дата начала]]="", Линия5[[#This Row],[Длительность]]=""), 1/0, Линия5[[#This Row],[Дата начала]]+Линия5[[#This Row],[Длительность]]), "")</f>
        <v>46069.842297979791</v>
      </c>
      <c r="C153" s="28">
        <f t="shared" si="4"/>
        <v>5.6818181818181816E-2</v>
      </c>
      <c r="D153" s="29">
        <v>2200</v>
      </c>
      <c r="E153" s="29" t="s">
        <v>334</v>
      </c>
      <c r="F153" s="29">
        <v>3000</v>
      </c>
      <c r="G153" s="29">
        <v>384</v>
      </c>
      <c r="H153" s="48">
        <f>IFERROR(Линия5[[#This Row],[Количество]]/Линия5[[#This Row],[Шт. в поддоне]], "")</f>
        <v>7.8125</v>
      </c>
    </row>
    <row r="154" spans="1:8" ht="13.8" hidden="1" x14ac:dyDescent="0.25">
      <c r="A154" s="44">
        <f t="shared" si="5"/>
        <v>46069.842297979791</v>
      </c>
      <c r="B154" s="47">
        <f>IFERROR(IF(OR(Линия5[[#This Row],[Дата начала]]="", Линия5[[#This Row],[Длительность]]=""), 1/0, Линия5[[#This Row],[Дата начала]]+Линия5[[#This Row],[Длительность]]), "")</f>
        <v>46069.856186868681</v>
      </c>
      <c r="C154" s="28">
        <f t="shared" si="4"/>
        <v>1.3888888888888888E-2</v>
      </c>
      <c r="D154" s="29"/>
      <c r="E154" s="29" t="s">
        <v>197</v>
      </c>
      <c r="F154" s="29"/>
      <c r="G154" s="29"/>
      <c r="H154" s="48" t="str">
        <f>IFERROR(Линия5[[#This Row],[Количество]]/Линия5[[#This Row],[Шт. в поддоне]], "")</f>
        <v/>
      </c>
    </row>
    <row r="155" spans="1:8" ht="13.8" hidden="1" x14ac:dyDescent="0.25">
      <c r="A155" s="44">
        <f t="shared" si="5"/>
        <v>46069.856186868681</v>
      </c>
      <c r="B155" s="47">
        <f>IFERROR(IF(OR(Линия5[[#This Row],[Дата начала]]="", Линия5[[#This Row],[Длительность]]=""), 1/0, Линия5[[#This Row],[Дата начала]]+Линия5[[#This Row],[Длительность]]), "")</f>
        <v>46069.913005050497</v>
      </c>
      <c r="C155" s="28">
        <f t="shared" si="4"/>
        <v>5.6818181818181816E-2</v>
      </c>
      <c r="D155" s="29">
        <v>2200</v>
      </c>
      <c r="E155" s="29" t="s">
        <v>335</v>
      </c>
      <c r="F155" s="29">
        <v>3000</v>
      </c>
      <c r="G155" s="29">
        <v>384</v>
      </c>
      <c r="H155" s="48">
        <f>IFERROR(Линия5[[#This Row],[Количество]]/Линия5[[#This Row],[Шт. в поддоне]], "")</f>
        <v>7.8125</v>
      </c>
    </row>
    <row r="156" spans="1:8" ht="13.8" hidden="1" x14ac:dyDescent="0.25">
      <c r="A156" s="44">
        <f t="shared" si="5"/>
        <v>46069.913005050497</v>
      </c>
      <c r="B156" s="47">
        <f>IFERROR(IF(OR(Линия5[[#This Row],[Дата начала]]="", Линия5[[#This Row],[Длительность]]=""), 1/0, Линия5[[#This Row],[Дата начала]]+Линия5[[#This Row],[Длительность]]), "")</f>
        <v>46069.926893939388</v>
      </c>
      <c r="C156" s="28">
        <f t="shared" si="4"/>
        <v>1.3888888888888888E-2</v>
      </c>
      <c r="D156" s="29"/>
      <c r="E156" s="29" t="s">
        <v>197</v>
      </c>
      <c r="F156" s="29"/>
      <c r="G156" s="29"/>
      <c r="H156" s="48" t="str">
        <f>IFERROR(Линия5[[#This Row],[Количество]]/Линия5[[#This Row],[Шт. в поддоне]], "")</f>
        <v/>
      </c>
    </row>
    <row r="157" spans="1:8" ht="13.8" hidden="1" x14ac:dyDescent="0.25">
      <c r="A157" s="44">
        <f t="shared" si="5"/>
        <v>46069.926893939388</v>
      </c>
      <c r="B157" s="47">
        <f>IFERROR(IF(OR(Линия5[[#This Row],[Дата начала]]="", Линия5[[#This Row],[Длительность]]=""), 1/0, Линия5[[#This Row],[Дата начала]]+Линия5[[#This Row],[Длительность]]), "")</f>
        <v>46069.983712121204</v>
      </c>
      <c r="C157" s="28">
        <f t="shared" si="4"/>
        <v>5.6818181818181816E-2</v>
      </c>
      <c r="D157" s="29">
        <v>2200</v>
      </c>
      <c r="E157" s="29" t="s">
        <v>336</v>
      </c>
      <c r="F157" s="29">
        <v>3000</v>
      </c>
      <c r="G157" s="29">
        <v>384</v>
      </c>
      <c r="H157" s="48">
        <f>IFERROR(Линия5[[#This Row],[Количество]]/Линия5[[#This Row],[Шт. в поддоне]], "")</f>
        <v>7.8125</v>
      </c>
    </row>
    <row r="158" spans="1:8" ht="13.8" hidden="1" x14ac:dyDescent="0.25">
      <c r="A158" s="44">
        <f t="shared" si="5"/>
        <v>46069.983712121204</v>
      </c>
      <c r="B158" s="47">
        <f>IFERROR(IF(OR(Линия5[[#This Row],[Дата начала]]="", Линия5[[#This Row],[Длительность]]=""), 1/0, Линия5[[#This Row],[Дата начала]]+Линия5[[#This Row],[Длительность]]), "")</f>
        <v>46069.997601010095</v>
      </c>
      <c r="C158" s="28">
        <f t="shared" si="4"/>
        <v>1.3888888888888888E-2</v>
      </c>
      <c r="D158" s="29"/>
      <c r="E158" s="29" t="s">
        <v>197</v>
      </c>
      <c r="F158" s="29"/>
      <c r="G158" s="29"/>
      <c r="H158" s="48" t="str">
        <f>IFERROR(Линия5[[#This Row],[Количество]]/Линия5[[#This Row],[Шт. в поддоне]], "")</f>
        <v/>
      </c>
    </row>
    <row r="159" spans="1:8" ht="13.8" hidden="1" x14ac:dyDescent="0.25">
      <c r="A159" s="44">
        <v>46070.375</v>
      </c>
      <c r="B159" s="47">
        <f>IFERROR(IF(OR(Линия5[[#This Row],[Дата начала]]="", Линия5[[#This Row],[Длительность]]=""), 1/0, Линия5[[#This Row],[Дата начала]]+Линия5[[#This Row],[Длительность]]), "")</f>
        <v>46070.431818181816</v>
      </c>
      <c r="C159" s="28">
        <f t="shared" si="4"/>
        <v>5.6818181818181816E-2</v>
      </c>
      <c r="D159" s="29">
        <v>2200</v>
      </c>
      <c r="E159" s="29" t="s">
        <v>337</v>
      </c>
      <c r="F159" s="29">
        <v>3000</v>
      </c>
      <c r="G159" s="29">
        <v>384</v>
      </c>
      <c r="H159" s="48">
        <f>IFERROR(Линия5[[#This Row],[Количество]]/Линия5[[#This Row],[Шт. в поддоне]], "")</f>
        <v>7.8125</v>
      </c>
    </row>
    <row r="160" spans="1:8" ht="13.8" hidden="1" x14ac:dyDescent="0.25">
      <c r="A160" s="44">
        <f t="shared" si="5"/>
        <v>46070.431818181816</v>
      </c>
      <c r="B160" s="47">
        <f>IFERROR(IF(OR(Линия5[[#This Row],[Дата начала]]="", Линия5[[#This Row],[Длительность]]=""), 1/0, Линия5[[#This Row],[Дата начала]]+Линия5[[#This Row],[Длительность]]), "")</f>
        <v>46070.494318181816</v>
      </c>
      <c r="C160" s="28">
        <f t="shared" si="4"/>
        <v>6.25E-2</v>
      </c>
      <c r="D160" s="29"/>
      <c r="E160" s="29" t="s">
        <v>153</v>
      </c>
      <c r="F160" s="29"/>
      <c r="G160" s="29"/>
      <c r="H160" s="48" t="str">
        <f>IFERROR(Линия5[[#This Row],[Количество]]/Линия5[[#This Row],[Шт. в поддоне]], "")</f>
        <v/>
      </c>
    </row>
    <row r="161" spans="1:9" ht="13.8" hidden="1" x14ac:dyDescent="0.25">
      <c r="A161" s="44">
        <f t="shared" si="5"/>
        <v>46070.494318181816</v>
      </c>
      <c r="B161" s="47">
        <f>IFERROR(IF(OR(Линия5[[#This Row],[Дата начала]]="", Линия5[[#This Row],[Длительность]]=""), 1/0, Линия5[[#This Row],[Дата начала]]+Линия5[[#This Row],[Длительность]]), "")</f>
        <v>46070.551136363632</v>
      </c>
      <c r="C161" s="28">
        <f t="shared" si="4"/>
        <v>5.6818181818181816E-2</v>
      </c>
      <c r="D161" s="29">
        <v>2200</v>
      </c>
      <c r="E161" s="29" t="s">
        <v>338</v>
      </c>
      <c r="F161" s="29">
        <v>3000</v>
      </c>
      <c r="G161" s="29">
        <v>384</v>
      </c>
      <c r="H161" s="48">
        <f>IFERROR(Линия5[[#This Row],[Количество]]/Линия5[[#This Row],[Шт. в поддоне]], "")</f>
        <v>7.8125</v>
      </c>
    </row>
    <row r="162" spans="1:9" ht="13.8" hidden="1" x14ac:dyDescent="0.25">
      <c r="A162" s="44">
        <f t="shared" si="5"/>
        <v>46070.551136363632</v>
      </c>
      <c r="B162" s="47">
        <f>IFERROR(IF(OR(Линия5[[#This Row],[Дата начала]]="", Линия5[[#This Row],[Длительность]]=""), 1/0, Линия5[[#This Row],[Дата начала]]+Линия5[[#This Row],[Длительность]]), "")</f>
        <v>46070.565025252523</v>
      </c>
      <c r="C162" s="28">
        <f t="shared" si="4"/>
        <v>1.3888888888888888E-2</v>
      </c>
      <c r="D162" s="29"/>
      <c r="E162" s="29" t="s">
        <v>197</v>
      </c>
      <c r="F162" s="29"/>
      <c r="G162" s="29"/>
      <c r="H162" s="48" t="str">
        <f>IFERROR(Линия5[[#This Row],[Количество]]/Линия5[[#This Row],[Шт. в поддоне]], "")</f>
        <v/>
      </c>
    </row>
    <row r="163" spans="1:9" ht="13.8" hidden="1" x14ac:dyDescent="0.25">
      <c r="A163" s="44">
        <f t="shared" si="5"/>
        <v>46070.565025252523</v>
      </c>
      <c r="B163" s="47">
        <f>IFERROR(IF(OR(Линия5[[#This Row],[Дата начала]]="", Линия5[[#This Row],[Длительность]]=""), 1/0, Линия5[[#This Row],[Дата начала]]+Линия5[[#This Row],[Длительность]]), "")</f>
        <v>46070.621843434339</v>
      </c>
      <c r="C163" s="28">
        <f t="shared" si="4"/>
        <v>5.6818181818181816E-2</v>
      </c>
      <c r="D163" s="29">
        <v>2200</v>
      </c>
      <c r="E163" s="29" t="s">
        <v>339</v>
      </c>
      <c r="F163" s="29">
        <v>3000</v>
      </c>
      <c r="G163" s="29">
        <v>384</v>
      </c>
      <c r="H163" s="48">
        <f>IFERROR(Линия5[[#This Row],[Количество]]/Линия5[[#This Row],[Шт. в поддоне]], "")</f>
        <v>7.8125</v>
      </c>
    </row>
    <row r="164" spans="1:9" ht="13.8" hidden="1" x14ac:dyDescent="0.25">
      <c r="A164" s="44">
        <f t="shared" si="5"/>
        <v>46070.621843434339</v>
      </c>
      <c r="B164" s="47">
        <f>IFERROR(IF(OR(Линия5[[#This Row],[Дата начала]]="", Линия5[[#This Row],[Длительность]]=""), 1/0, Линия5[[#This Row],[Дата начала]]+Линия5[[#This Row],[Длительность]]), "")</f>
        <v>46070.63573232323</v>
      </c>
      <c r="C164" s="28">
        <f t="shared" si="4"/>
        <v>1.3888888888888888E-2</v>
      </c>
      <c r="D164" s="29"/>
      <c r="E164" s="29" t="s">
        <v>197</v>
      </c>
      <c r="F164" s="29"/>
      <c r="G164" s="29"/>
      <c r="H164" s="48" t="str">
        <f>IFERROR(Линия5[[#This Row],[Количество]]/Линия5[[#This Row],[Шт. в поддоне]], "")</f>
        <v/>
      </c>
    </row>
    <row r="165" spans="1:9" ht="13.8" hidden="1" x14ac:dyDescent="0.25">
      <c r="A165" s="44">
        <f t="shared" si="5"/>
        <v>46070.63573232323</v>
      </c>
      <c r="B165" s="47">
        <f>IFERROR(IF(OR(Линия5[[#This Row],[Дата начала]]="", Линия5[[#This Row],[Длительность]]=""), 1/0, Линия5[[#This Row],[Дата начала]]+Линия5[[#This Row],[Длительность]]), "")</f>
        <v>46070.692550505046</v>
      </c>
      <c r="C165" s="28">
        <f t="shared" si="4"/>
        <v>5.6818181818181816E-2</v>
      </c>
      <c r="D165" s="29">
        <v>2200</v>
      </c>
      <c r="E165" s="29" t="s">
        <v>340</v>
      </c>
      <c r="F165" s="29">
        <v>3000</v>
      </c>
      <c r="G165" s="29">
        <v>384</v>
      </c>
      <c r="H165" s="48">
        <f>IFERROR(Линия5[[#This Row],[Количество]]/Линия5[[#This Row],[Шт. в поддоне]], "")</f>
        <v>7.8125</v>
      </c>
    </row>
    <row r="166" spans="1:9" ht="13.8" hidden="1" x14ac:dyDescent="0.25">
      <c r="A166" s="44">
        <f t="shared" si="5"/>
        <v>46070.692550505046</v>
      </c>
      <c r="B166" s="47">
        <f>IFERROR(IF(OR(Линия5[[#This Row],[Дата начала]]="", Линия5[[#This Row],[Длительность]]=""), 1/0, Линия5[[#This Row],[Дата начала]]+Линия5[[#This Row],[Длительность]]), "")</f>
        <v>46070.706439393936</v>
      </c>
      <c r="C166" s="28">
        <f t="shared" si="4"/>
        <v>1.3888888888888888E-2</v>
      </c>
      <c r="D166" s="29"/>
      <c r="E166" s="29" t="s">
        <v>197</v>
      </c>
      <c r="F166" s="29"/>
      <c r="G166" s="29"/>
      <c r="H166" s="48" t="str">
        <f>IFERROR(Линия5[[#This Row],[Количество]]/Линия5[[#This Row],[Шт. в поддоне]], "")</f>
        <v/>
      </c>
    </row>
    <row r="167" spans="1:9" ht="13.8" hidden="1" x14ac:dyDescent="0.25">
      <c r="A167" s="44">
        <f t="shared" si="5"/>
        <v>46070.706439393936</v>
      </c>
      <c r="B167" s="47">
        <f>IFERROR(IF(OR(Линия5[[#This Row],[Дата начала]]="", Линия5[[#This Row],[Длительность]]=""), 1/0, Линия5[[#This Row],[Дата начала]]+Линия5[[#This Row],[Длительность]]), "")</f>
        <v>46070.763257575753</v>
      </c>
      <c r="C167" s="28">
        <f t="shared" si="4"/>
        <v>5.6818181818181816E-2</v>
      </c>
      <c r="D167" s="29">
        <v>2200</v>
      </c>
      <c r="E167" s="29" t="s">
        <v>341</v>
      </c>
      <c r="F167" s="29">
        <v>3000</v>
      </c>
      <c r="G167" s="29">
        <v>384</v>
      </c>
      <c r="H167" s="48">
        <f>IFERROR(Линия5[[#This Row],[Количество]]/Линия5[[#This Row],[Шт. в поддоне]], "")</f>
        <v>7.8125</v>
      </c>
    </row>
    <row r="168" spans="1:9" ht="13.8" hidden="1" x14ac:dyDescent="0.25">
      <c r="A168" s="44">
        <f t="shared" si="5"/>
        <v>46070.763257575753</v>
      </c>
      <c r="B168" s="47">
        <f>IFERROR(IF(OR(Линия5[[#This Row],[Дата начала]]="", Линия5[[#This Row],[Длительность]]=""), 1/0, Линия5[[#This Row],[Дата начала]]+Линия5[[#This Row],[Длительность]]), "")</f>
        <v>46070.777146464643</v>
      </c>
      <c r="C168" s="28">
        <f t="shared" si="4"/>
        <v>1.3888888888888888E-2</v>
      </c>
      <c r="D168" s="29"/>
      <c r="E168" s="29" t="s">
        <v>197</v>
      </c>
      <c r="F168" s="29"/>
      <c r="G168" s="29"/>
      <c r="H168" s="48" t="str">
        <f>IFERROR(Линия5[[#This Row],[Количество]]/Линия5[[#This Row],[Шт. в поддоне]], "")</f>
        <v/>
      </c>
    </row>
    <row r="169" spans="1:9" ht="13.8" hidden="1" x14ac:dyDescent="0.25">
      <c r="A169" s="44">
        <f t="shared" si="5"/>
        <v>46070.777146464643</v>
      </c>
      <c r="B169" s="47">
        <f>IFERROR(IF(OR(Линия5[[#This Row],[Дата начала]]="", Линия5[[#This Row],[Длительность]]=""), 1/0, Линия5[[#This Row],[Дата начала]]+Линия5[[#This Row],[Длительность]]), "")</f>
        <v>46070.833964646459</v>
      </c>
      <c r="C169" s="28">
        <f t="shared" si="4"/>
        <v>5.6818181818181816E-2</v>
      </c>
      <c r="D169" s="29">
        <v>2200</v>
      </c>
      <c r="E169" s="29" t="s">
        <v>342</v>
      </c>
      <c r="F169" s="29">
        <v>3000</v>
      </c>
      <c r="G169" s="29">
        <v>384</v>
      </c>
      <c r="H169" s="48">
        <f>IFERROR(Линия5[[#This Row],[Количество]]/Линия5[[#This Row],[Шт. в поддоне]], "")</f>
        <v>7.8125</v>
      </c>
    </row>
    <row r="170" spans="1:9" ht="13.8" hidden="1" x14ac:dyDescent="0.25">
      <c r="A170" s="44">
        <f t="shared" si="5"/>
        <v>46070.833964646459</v>
      </c>
      <c r="B170" s="47">
        <f>IFERROR(IF(OR(Линия5[[#This Row],[Дата начала]]="", Линия5[[#This Row],[Длительность]]=""), 1/0, Линия5[[#This Row],[Дата начала]]+Линия5[[#This Row],[Длительность]]), "")</f>
        <v>46070.84785353535</v>
      </c>
      <c r="C170" s="28">
        <f t="shared" si="4"/>
        <v>1.3888888888888888E-2</v>
      </c>
      <c r="D170" s="29"/>
      <c r="E170" s="29" t="s">
        <v>197</v>
      </c>
      <c r="F170" s="29"/>
      <c r="G170" s="29"/>
      <c r="H170" s="48" t="str">
        <f>IFERROR(Линия5[[#This Row],[Количество]]/Линия5[[#This Row],[Шт. в поддоне]], "")</f>
        <v/>
      </c>
    </row>
    <row r="171" spans="1:9" ht="13.8" hidden="1" x14ac:dyDescent="0.25">
      <c r="A171" s="44">
        <f t="shared" si="5"/>
        <v>46070.84785353535</v>
      </c>
      <c r="B171" s="47">
        <f>IFERROR(IF(OR(Линия5[[#This Row],[Дата начала]]="", Линия5[[#This Row],[Длительность]]=""), 1/0, Линия5[[#This Row],[Дата начала]]+Линия5[[#This Row],[Длительность]]), "")</f>
        <v>46070.904671717166</v>
      </c>
      <c r="C171" s="28">
        <f t="shared" si="4"/>
        <v>5.6818181818181816E-2</v>
      </c>
      <c r="D171" s="29">
        <v>2200</v>
      </c>
      <c r="E171" s="29" t="s">
        <v>343</v>
      </c>
      <c r="F171" s="29">
        <v>3000</v>
      </c>
      <c r="G171" s="29">
        <v>384</v>
      </c>
      <c r="H171" s="48">
        <f>IFERROR(Линия5[[#This Row],[Количество]]/Линия5[[#This Row],[Шт. в поддоне]], "")</f>
        <v>7.8125</v>
      </c>
    </row>
    <row r="172" spans="1:9" ht="13.8" hidden="1" x14ac:dyDescent="0.25">
      <c r="A172" s="44">
        <f t="shared" si="5"/>
        <v>46070.904671717166</v>
      </c>
      <c r="B172" s="47">
        <f>IFERROR(IF(OR(Линия5[[#This Row],[Дата начала]]="", Линия5[[#This Row],[Длительность]]=""), 1/0, Линия5[[#This Row],[Дата начала]]+Линия5[[#This Row],[Длительность]]), "")</f>
        <v>46070.967171717166</v>
      </c>
      <c r="C172" s="28">
        <f t="shared" si="4"/>
        <v>6.25E-2</v>
      </c>
      <c r="D172" s="29"/>
      <c r="E172" s="29" t="s">
        <v>153</v>
      </c>
      <c r="F172" s="29"/>
      <c r="G172" s="29"/>
      <c r="H172" s="48" t="str">
        <f>IFERROR(Линия5[[#This Row],[Количество]]/Линия5[[#This Row],[Шт. в поддоне]], "")</f>
        <v/>
      </c>
    </row>
    <row r="173" spans="1:9" ht="13.8" hidden="1" x14ac:dyDescent="0.25">
      <c r="A173" s="44">
        <f t="shared" si="5"/>
        <v>46070.967171717166</v>
      </c>
      <c r="B173" s="47">
        <f>IFERROR(IF(OR(Линия5[[#This Row],[Дата начала]]="", Линия5[[#This Row],[Длительность]]=""), 1/0, Линия5[[#This Row],[Дата начала]]+Линия5[[#This Row],[Длительность]]), "")</f>
        <v>46071.023989898982</v>
      </c>
      <c r="C173" s="28">
        <f t="shared" si="4"/>
        <v>5.6818181818181816E-2</v>
      </c>
      <c r="D173" s="29">
        <v>2200</v>
      </c>
      <c r="E173" s="29" t="s">
        <v>344</v>
      </c>
      <c r="F173" s="29">
        <v>3000</v>
      </c>
      <c r="G173" s="29">
        <v>384</v>
      </c>
      <c r="H173" s="48">
        <f>IFERROR(Линия5[[#This Row],[Количество]]/Линия5[[#This Row],[Шт. в поддоне]], "")</f>
        <v>7.8125</v>
      </c>
      <c r="I173" s="106" t="s">
        <v>345</v>
      </c>
    </row>
    <row r="174" spans="1:9" ht="13.8" hidden="1" x14ac:dyDescent="0.25">
      <c r="A174" s="44">
        <f t="shared" si="5"/>
        <v>46071.023989898982</v>
      </c>
      <c r="B174" s="47">
        <f>IFERROR(IF(OR(Линия5[[#This Row],[Дата начала]]="", Линия5[[#This Row],[Длительность]]=""), 1/0, Линия5[[#This Row],[Дата начала]]+Линия5[[#This Row],[Длительность]]), "")</f>
        <v>46071.037878787873</v>
      </c>
      <c r="C174" s="28">
        <f t="shared" si="4"/>
        <v>1.3888888888888888E-2</v>
      </c>
      <c r="D174" s="29"/>
      <c r="E174" s="29" t="s">
        <v>197</v>
      </c>
      <c r="F174" s="29"/>
      <c r="G174" s="29"/>
      <c r="H174" s="48" t="str">
        <f>IFERROR(Линия5[[#This Row],[Количество]]/Линия5[[#This Row],[Шт. в поддоне]], "")</f>
        <v/>
      </c>
    </row>
    <row r="175" spans="1:9" ht="13.8" hidden="1" x14ac:dyDescent="0.25">
      <c r="A175" s="44">
        <f t="shared" si="5"/>
        <v>46071.037878787873</v>
      </c>
      <c r="B175" s="47">
        <f>IFERROR(IF(OR(Линия5[[#This Row],[Дата начала]]="", Линия5[[#This Row],[Длительность]]=""), 1/0, Линия5[[#This Row],[Дата начала]]+Линия5[[#This Row],[Длительность]]), "")</f>
        <v>46071.094696969689</v>
      </c>
      <c r="C175" s="28">
        <f t="shared" si="4"/>
        <v>5.6818181818181816E-2</v>
      </c>
      <c r="D175" s="29">
        <v>2200</v>
      </c>
      <c r="E175" s="29" t="s">
        <v>346</v>
      </c>
      <c r="F175" s="29">
        <v>3000</v>
      </c>
      <c r="G175" s="29">
        <v>384</v>
      </c>
      <c r="H175" s="48">
        <f>IFERROR(Линия5[[#This Row],[Количество]]/Линия5[[#This Row],[Шт. в поддоне]], "")</f>
        <v>7.8125</v>
      </c>
    </row>
    <row r="176" spans="1:9" ht="13.8" hidden="1" x14ac:dyDescent="0.25">
      <c r="A176" s="44">
        <v>46071.291666666664</v>
      </c>
      <c r="B176" s="47">
        <f>IFERROR(IF(OR(Линия5[[#This Row],[Дата начала]]="", Линия5[[#This Row],[Длительность]]=""), 1/0, Линия5[[#This Row],[Дата начала]]+Линия5[[#This Row],[Длительность]]), "")</f>
        <v>46071.354166666664</v>
      </c>
      <c r="C176" s="28">
        <f t="shared" si="4"/>
        <v>6.25E-2</v>
      </c>
      <c r="D176" s="29"/>
      <c r="E176" s="29" t="s">
        <v>153</v>
      </c>
      <c r="F176" s="29"/>
      <c r="G176" s="29"/>
      <c r="H176" s="48" t="str">
        <f>IFERROR(Линия5[[#This Row],[Количество]]/Линия5[[#This Row],[Шт. в поддоне]], "")</f>
        <v/>
      </c>
    </row>
    <row r="177" spans="1:8" ht="13.8" hidden="1" x14ac:dyDescent="0.25">
      <c r="A177" s="44">
        <v>46072.291666608799</v>
      </c>
      <c r="B177" s="47">
        <f>IFERROR(IF(OR(Линия5[[#This Row],[Дата начала]]="", Линия5[[#This Row],[Длительность]]=""), 1/0, Линия5[[#This Row],[Дата начала]]+Линия5[[#This Row],[Длительность]]), "")</f>
        <v>46072.348484790615</v>
      </c>
      <c r="C177" s="28">
        <f t="shared" si="4"/>
        <v>5.6818181818181816E-2</v>
      </c>
      <c r="D177" s="29">
        <v>2200</v>
      </c>
      <c r="E177" s="34" t="s">
        <v>347</v>
      </c>
      <c r="F177" s="34">
        <v>3000</v>
      </c>
      <c r="G177" s="29">
        <v>384</v>
      </c>
      <c r="H177" s="48">
        <f>IFERROR(Линия5[[#This Row],[Количество]]/Линия5[[#This Row],[Шт. в поддоне]], "")</f>
        <v>7.8125</v>
      </c>
    </row>
    <row r="178" spans="1:8" ht="13.8" hidden="1" x14ac:dyDescent="0.25">
      <c r="A178" s="44">
        <v>46073.291666608799</v>
      </c>
      <c r="B178" s="47">
        <f>IFERROR(IF(OR(Линия5[[#This Row],[Дата начала]]="", Линия5[[#This Row],[Длительность]]=""), 1/0, Линия5[[#This Row],[Дата начала]]+Линия5[[#This Row],[Длительность]]), "")</f>
        <v>46073.354166608799</v>
      </c>
      <c r="C178" s="28">
        <f t="shared" si="4"/>
        <v>6.25E-2</v>
      </c>
      <c r="D178" s="34"/>
      <c r="E178" s="34" t="s">
        <v>153</v>
      </c>
      <c r="F178" s="34"/>
      <c r="G178" s="34"/>
      <c r="H178" s="48" t="str">
        <f>IFERROR(Линия5[[#This Row],[Количество]]/Линия5[[#This Row],[Шт. в поддоне]], "")</f>
        <v/>
      </c>
    </row>
    <row r="179" spans="1:8" ht="13.8" x14ac:dyDescent="0.25">
      <c r="A179" s="44">
        <v>46078.375</v>
      </c>
      <c r="B179" s="47">
        <f>IFERROR(IF(OR(Линия5[[#This Row],[Дата начала]]="", Линия5[[#This Row],[Длительность]]=""), 1/0, Линия5[[#This Row],[Дата начала]]+Линия5[[#This Row],[Длительность]]), "")</f>
        <v>46078.388888888891</v>
      </c>
      <c r="C179" s="28">
        <f t="shared" si="4"/>
        <v>1.3888888888888888E-2</v>
      </c>
      <c r="D179" s="29"/>
      <c r="E179" s="29" t="s">
        <v>197</v>
      </c>
      <c r="F179" s="29"/>
      <c r="G179" s="29"/>
      <c r="H179" s="48" t="str">
        <f>IFERROR(Линия5[[#This Row],[Количество]]/Линия5[[#This Row],[Шт. в поддоне]], "")</f>
        <v/>
      </c>
    </row>
    <row r="180" spans="1:8" ht="13.8" x14ac:dyDescent="0.25">
      <c r="A180" s="44">
        <f>B179</f>
        <v>46078.388888888891</v>
      </c>
      <c r="B180" s="47">
        <f>IFERROR(IF(OR(Линия5[[#This Row],[Дата начала]]="", Линия5[[#This Row],[Длительность]]=""), 1/0, Линия5[[#This Row],[Дата начала]]+Линия5[[#This Row],[Длительность]]), "")</f>
        <v>46078.445707070707</v>
      </c>
      <c r="C180" s="28">
        <f t="shared" si="4"/>
        <v>5.6818181818181816E-2</v>
      </c>
      <c r="D180" s="29">
        <v>2200</v>
      </c>
      <c r="E180" s="29" t="s">
        <v>348</v>
      </c>
      <c r="F180" s="29">
        <v>3000</v>
      </c>
      <c r="G180" s="29">
        <v>384</v>
      </c>
      <c r="H180" s="48">
        <f>IFERROR(Линия5[[#This Row],[Количество]]/Линия5[[#This Row],[Шт. в поддоне]], "")</f>
        <v>7.8125</v>
      </c>
    </row>
    <row r="181" spans="1:8" ht="13.8" x14ac:dyDescent="0.25">
      <c r="A181" s="44">
        <f t="shared" ref="A181:A197" si="6">B180</f>
        <v>46078.445707070707</v>
      </c>
      <c r="B181" s="47">
        <f>IFERROR(IF(OR(Линия5[[#This Row],[Дата начала]]="", Линия5[[#This Row],[Длительность]]=""), 1/0, Линия5[[#This Row],[Дата начала]]+Линия5[[#This Row],[Длительность]]), "")</f>
        <v>46078.459595959597</v>
      </c>
      <c r="C181" s="28">
        <f t="shared" si="4"/>
        <v>1.3888888888888888E-2</v>
      </c>
      <c r="D181" s="29"/>
      <c r="E181" s="29" t="s">
        <v>197</v>
      </c>
      <c r="F181" s="29"/>
      <c r="G181" s="29"/>
      <c r="H181" s="48" t="str">
        <f>IFERROR(Линия5[[#This Row],[Количество]]/Линия5[[#This Row],[Шт. в поддоне]], "")</f>
        <v/>
      </c>
    </row>
    <row r="182" spans="1:8" ht="13.8" x14ac:dyDescent="0.25">
      <c r="A182" s="44">
        <f t="shared" si="6"/>
        <v>46078.459595959597</v>
      </c>
      <c r="B182" s="47">
        <f>IFERROR(IF(OR(Линия5[[#This Row],[Дата начала]]="", Линия5[[#This Row],[Длительность]]=""), 1/0, Линия5[[#This Row],[Дата начала]]+Линия5[[#This Row],[Длительность]]), "")</f>
        <v>46078.516414141413</v>
      </c>
      <c r="C182" s="28">
        <f t="shared" si="4"/>
        <v>5.6818181818181816E-2</v>
      </c>
      <c r="D182" s="29">
        <v>2200</v>
      </c>
      <c r="E182" s="29" t="s">
        <v>349</v>
      </c>
      <c r="F182" s="29">
        <v>3000</v>
      </c>
      <c r="G182" s="29">
        <v>384</v>
      </c>
      <c r="H182" s="48">
        <f>IFERROR(Линия5[[#This Row],[Количество]]/Линия5[[#This Row],[Шт. в поддоне]], "")</f>
        <v>7.8125</v>
      </c>
    </row>
    <row r="183" spans="1:8" ht="13.8" x14ac:dyDescent="0.25">
      <c r="A183" s="44">
        <f t="shared" si="6"/>
        <v>46078.516414141413</v>
      </c>
      <c r="B183" s="47">
        <f>IFERROR(IF(OR(Линия5[[#This Row],[Дата начала]]="", Линия5[[#This Row],[Длительность]]=""), 1/0, Линия5[[#This Row],[Дата начала]]+Линия5[[#This Row],[Длительность]]), "")</f>
        <v>46078.530303030304</v>
      </c>
      <c r="C183" s="28">
        <f t="shared" si="4"/>
        <v>1.3888888888888888E-2</v>
      </c>
      <c r="D183" s="29"/>
      <c r="E183" s="29" t="s">
        <v>197</v>
      </c>
      <c r="F183" s="29"/>
      <c r="G183" s="29"/>
      <c r="H183" s="48" t="str">
        <f>IFERROR(Линия5[[#This Row],[Количество]]/Линия5[[#This Row],[Шт. в поддоне]], "")</f>
        <v/>
      </c>
    </row>
    <row r="184" spans="1:8" ht="13.8" x14ac:dyDescent="0.25">
      <c r="A184" s="44">
        <f t="shared" si="6"/>
        <v>46078.530303030304</v>
      </c>
      <c r="B184" s="47">
        <f>IFERROR(IF(OR(Линия5[[#This Row],[Дата начала]]="", Линия5[[#This Row],[Длительность]]=""), 1/0, Линия5[[#This Row],[Дата начала]]+Линия5[[#This Row],[Длительность]]), "")</f>
        <v>46078.615530303032</v>
      </c>
      <c r="C184" s="28">
        <f t="shared" si="4"/>
        <v>8.5227272727272721E-2</v>
      </c>
      <c r="D184" s="29">
        <v>2200</v>
      </c>
      <c r="E184" s="29" t="s">
        <v>350</v>
      </c>
      <c r="F184" s="29">
        <v>4500</v>
      </c>
      <c r="G184" s="29">
        <v>384</v>
      </c>
      <c r="H184" s="48">
        <f>IFERROR(Линия5[[#This Row],[Количество]]/Линия5[[#This Row],[Шт. в поддоне]], "")</f>
        <v>11.71875</v>
      </c>
    </row>
    <row r="185" spans="1:8" ht="13.8" x14ac:dyDescent="0.25">
      <c r="A185" s="44">
        <f t="shared" si="6"/>
        <v>46078.615530303032</v>
      </c>
      <c r="B185" s="47">
        <f>IFERROR(IF(OR(Линия5[[#This Row],[Дата начала]]="", Линия5[[#This Row],[Длительность]]=""), 1/0, Линия5[[#This Row],[Дата начала]]+Линия5[[#This Row],[Длительность]]), "")</f>
        <v>46078.629419191922</v>
      </c>
      <c r="C185" s="28">
        <f t="shared" si="4"/>
        <v>1.3888888888888888E-2</v>
      </c>
      <c r="D185" s="29"/>
      <c r="E185" s="29" t="s">
        <v>197</v>
      </c>
      <c r="F185" s="29"/>
      <c r="G185" s="29"/>
      <c r="H185" s="48" t="str">
        <f>IFERROR(Линия5[[#This Row],[Количество]]/Линия5[[#This Row],[Шт. в поддоне]], "")</f>
        <v/>
      </c>
    </row>
    <row r="186" spans="1:8" ht="13.8" x14ac:dyDescent="0.25">
      <c r="A186" s="44">
        <f t="shared" si="6"/>
        <v>46078.629419191922</v>
      </c>
      <c r="B186" s="47">
        <f>IFERROR(IF(OR(Линия5[[#This Row],[Дата начала]]="", Линия5[[#This Row],[Длительность]]=""), 1/0, Линия5[[#This Row],[Дата начала]]+Линия5[[#This Row],[Длительность]]), "")</f>
        <v>46078.913510101011</v>
      </c>
      <c r="C186" s="28">
        <f t="shared" si="4"/>
        <v>0.28409090909090912</v>
      </c>
      <c r="D186" s="29">
        <v>2200</v>
      </c>
      <c r="E186" s="29" t="s">
        <v>280</v>
      </c>
      <c r="F186" s="29">
        <v>15000</v>
      </c>
      <c r="G186" s="29">
        <v>384</v>
      </c>
      <c r="H186" s="48">
        <f>IFERROR(Линия5[[#This Row],[Количество]]/Линия5[[#This Row],[Шт. в поддоне]], "")</f>
        <v>39.0625</v>
      </c>
    </row>
    <row r="187" spans="1:8" ht="13.8" x14ac:dyDescent="0.25">
      <c r="A187" s="44">
        <f t="shared" si="6"/>
        <v>46078.913510101011</v>
      </c>
      <c r="B187" s="47">
        <f>IFERROR(IF(OR(Линия5[[#This Row],[Дата начала]]="", Линия5[[#This Row],[Длительность]]=""), 1/0, Линия5[[#This Row],[Дата начала]]+Линия5[[#This Row],[Длительность]]), "")</f>
        <v>46078.927398989901</v>
      </c>
      <c r="C187" s="28">
        <f t="shared" si="4"/>
        <v>1.3888888888888888E-2</v>
      </c>
      <c r="D187" s="29"/>
      <c r="E187" s="29" t="s">
        <v>197</v>
      </c>
      <c r="F187" s="29"/>
      <c r="G187" s="29"/>
      <c r="H187" s="48" t="str">
        <f>IFERROR(Линия5[[#This Row],[Количество]]/Линия5[[#This Row],[Шт. в поддоне]], "")</f>
        <v/>
      </c>
    </row>
    <row r="188" spans="1:8" ht="13.8" x14ac:dyDescent="0.25">
      <c r="A188" s="44">
        <f t="shared" si="6"/>
        <v>46078.927398989901</v>
      </c>
      <c r="B188" s="47">
        <f>IFERROR(IF(OR(Линия5[[#This Row],[Дата начала]]="", Линия5[[#This Row],[Длительность]]=""), 1/0, Линия5[[#This Row],[Дата начала]]+Линия5[[#This Row],[Длительность]]), "")</f>
        <v>46078.984217171717</v>
      </c>
      <c r="C188" s="28">
        <f t="shared" si="4"/>
        <v>5.6818181818181816E-2</v>
      </c>
      <c r="D188" s="29">
        <v>2200</v>
      </c>
      <c r="E188" s="29" t="s">
        <v>351</v>
      </c>
      <c r="F188" s="29">
        <v>3000</v>
      </c>
      <c r="G188" s="29">
        <v>384</v>
      </c>
      <c r="H188" s="48">
        <f>IFERROR(Линия5[[#This Row],[Количество]]/Линия5[[#This Row],[Шт. в поддоне]], "")</f>
        <v>7.8125</v>
      </c>
    </row>
    <row r="189" spans="1:8" ht="13.8" x14ac:dyDescent="0.25">
      <c r="A189" s="44">
        <f t="shared" si="6"/>
        <v>46078.984217171717</v>
      </c>
      <c r="B189" s="47">
        <f>IFERROR(IF(OR(Линия5[[#This Row],[Дата начала]]="", Линия5[[#This Row],[Длительность]]=""), 1/0, Линия5[[#This Row],[Дата начала]]+Линия5[[#This Row],[Длительность]]), "")</f>
        <v>46078.998106060608</v>
      </c>
      <c r="C189" s="28">
        <f t="shared" si="4"/>
        <v>1.3888888888888888E-2</v>
      </c>
      <c r="D189" s="29"/>
      <c r="E189" s="29" t="s">
        <v>197</v>
      </c>
      <c r="F189" s="29"/>
      <c r="G189" s="29"/>
      <c r="H189" s="48" t="str">
        <f>IFERROR(Линия5[[#This Row],[Количество]]/Линия5[[#This Row],[Шт. в поддоне]], "")</f>
        <v/>
      </c>
    </row>
    <row r="190" spans="1:8" ht="13.8" x14ac:dyDescent="0.25">
      <c r="A190" s="44">
        <f t="shared" si="6"/>
        <v>46078.998106060608</v>
      </c>
      <c r="B190" s="47">
        <f>IFERROR(IF(OR(Линия5[[#This Row],[Дата начала]]="", Линия5[[#This Row],[Длительность]]=""), 1/0, Линия5[[#This Row],[Дата начала]]+Линия5[[#This Row],[Длительность]]), "")</f>
        <v>46079.054924242424</v>
      </c>
      <c r="C190" s="28">
        <f t="shared" si="4"/>
        <v>5.6818181818181816E-2</v>
      </c>
      <c r="D190" s="29">
        <v>2200</v>
      </c>
      <c r="E190" s="29" t="s">
        <v>352</v>
      </c>
      <c r="F190" s="29">
        <v>3000</v>
      </c>
      <c r="G190" s="29">
        <v>384</v>
      </c>
      <c r="H190" s="48">
        <f>IFERROR(Линия5[[#This Row],[Количество]]/Линия5[[#This Row],[Шт. в поддоне]], "")</f>
        <v>7.8125</v>
      </c>
    </row>
    <row r="191" spans="1:8" ht="13.8" x14ac:dyDescent="0.25">
      <c r="A191" s="44">
        <f t="shared" si="6"/>
        <v>46079.054924242424</v>
      </c>
      <c r="B191" s="47">
        <f>IFERROR(IF(OR(Линия5[[#This Row],[Дата начала]]="", Линия5[[#This Row],[Длительность]]=""), 1/0, Линия5[[#This Row],[Дата начала]]+Линия5[[#This Row],[Длительность]]), "")</f>
        <v>46079.117424242424</v>
      </c>
      <c r="C191" s="28">
        <f t="shared" si="4"/>
        <v>6.25E-2</v>
      </c>
      <c r="D191" s="29"/>
      <c r="E191" s="29" t="s">
        <v>153</v>
      </c>
      <c r="F191" s="29"/>
      <c r="G191" s="29"/>
      <c r="H191" s="48" t="str">
        <f>IFERROR(Линия5[[#This Row],[Количество]]/Линия5[[#This Row],[Шт. в поддоне]], "")</f>
        <v/>
      </c>
    </row>
    <row r="192" spans="1:8" ht="13.8" x14ac:dyDescent="0.25">
      <c r="A192" s="44">
        <f t="shared" si="6"/>
        <v>46079.117424242424</v>
      </c>
      <c r="B192" s="47">
        <f>IFERROR(IF(OR(Линия5[[#This Row],[Дата начала]]="", Линия5[[#This Row],[Длительность]]=""), 1/0, Линия5[[#This Row],[Дата начала]]+Линия5[[#This Row],[Длительность]]), "")</f>
        <v>46079.401515151512</v>
      </c>
      <c r="C192" s="28">
        <f t="shared" si="4"/>
        <v>0.28409090909090912</v>
      </c>
      <c r="D192" s="29">
        <v>2200</v>
      </c>
      <c r="E192" s="29" t="s">
        <v>353</v>
      </c>
      <c r="F192" s="29">
        <v>15000</v>
      </c>
      <c r="G192" s="29">
        <v>384</v>
      </c>
      <c r="H192" s="48">
        <f>IFERROR(Линия5[[#This Row],[Количество]]/Линия5[[#This Row],[Шт. в поддоне]], "")</f>
        <v>39.0625</v>
      </c>
    </row>
    <row r="193" spans="1:8" ht="13.8" x14ac:dyDescent="0.25">
      <c r="A193" s="44">
        <f t="shared" si="6"/>
        <v>46079.401515151512</v>
      </c>
      <c r="B193" s="47">
        <f>IFERROR(IF(OR(Линия5[[#This Row],[Дата начала]]="", Линия5[[#This Row],[Длительность]]=""), 1/0, Линия5[[#This Row],[Дата начала]]+Линия5[[#This Row],[Длительность]]), "")</f>
        <v>46079.415404040403</v>
      </c>
      <c r="C193" s="28">
        <f t="shared" si="4"/>
        <v>1.3888888888888888E-2</v>
      </c>
      <c r="D193" s="29"/>
      <c r="E193" s="29" t="s">
        <v>197</v>
      </c>
      <c r="F193" s="29"/>
      <c r="G193" s="29"/>
      <c r="H193" s="48" t="str">
        <f>IFERROR(Линия5[[#This Row],[Количество]]/Линия5[[#This Row],[Шт. в поддоне]], "")</f>
        <v/>
      </c>
    </row>
    <row r="194" spans="1:8" ht="13.8" x14ac:dyDescent="0.25">
      <c r="A194" s="44">
        <f t="shared" si="6"/>
        <v>46079.415404040403</v>
      </c>
      <c r="B194" s="47">
        <f>IFERROR(IF(OR(Линия5[[#This Row],[Дата начала]]="", Линия5[[#This Row],[Длительность]]=""), 1/0, Линия5[[#This Row],[Дата начала]]+Линия5[[#This Row],[Длительность]]), "")</f>
        <v>46079.699494949491</v>
      </c>
      <c r="C194" s="28">
        <f t="shared" si="4"/>
        <v>0.28409090909090912</v>
      </c>
      <c r="D194" s="29">
        <v>2200</v>
      </c>
      <c r="E194" s="29" t="s">
        <v>284</v>
      </c>
      <c r="F194" s="29">
        <v>15000</v>
      </c>
      <c r="G194" s="29">
        <v>384</v>
      </c>
      <c r="H194" s="48">
        <f>IFERROR(Линия5[[#This Row],[Количество]]/Линия5[[#This Row],[Шт. в поддоне]], "")</f>
        <v>39.0625</v>
      </c>
    </row>
    <row r="195" spans="1:8" ht="13.8" x14ac:dyDescent="0.25">
      <c r="A195" s="44">
        <f t="shared" si="6"/>
        <v>46079.699494949491</v>
      </c>
      <c r="B195" s="47">
        <f>IFERROR(IF(OR(Линия5[[#This Row],[Дата начала]]="", Линия5[[#This Row],[Длительность]]=""), 1/0, Линия5[[#This Row],[Дата начала]]+Линия5[[#This Row],[Длительность]]), "")</f>
        <v>46079.713383838382</v>
      </c>
      <c r="C195" s="28">
        <f t="shared" si="4"/>
        <v>1.3888888888888888E-2</v>
      </c>
      <c r="D195" s="29"/>
      <c r="E195" s="29" t="s">
        <v>197</v>
      </c>
      <c r="F195" s="29"/>
      <c r="G195" s="29"/>
      <c r="H195" s="48" t="str">
        <f>IFERROR(Линия5[[#This Row],[Количество]]/Линия5[[#This Row],[Шт. в поддоне]], "")</f>
        <v/>
      </c>
    </row>
    <row r="196" spans="1:8" ht="13.8" x14ac:dyDescent="0.25">
      <c r="A196" s="44">
        <f t="shared" si="6"/>
        <v>46079.713383838382</v>
      </c>
      <c r="B196" s="47">
        <f>IFERROR(IF(OR(Линия5[[#This Row],[Дата начала]]="", Линия5[[#This Row],[Длительность]]=""), 1/0, Линия5[[#This Row],[Дата начала]]+Линия5[[#This Row],[Длительность]]), "")</f>
        <v>46079.827020202021</v>
      </c>
      <c r="C196" s="28">
        <f t="shared" si="4"/>
        <v>0.11363636363636363</v>
      </c>
      <c r="D196" s="29">
        <v>2200</v>
      </c>
      <c r="E196" s="29" t="s">
        <v>277</v>
      </c>
      <c r="F196" s="29">
        <v>6000</v>
      </c>
      <c r="G196" s="29">
        <v>384</v>
      </c>
      <c r="H196" s="48">
        <f>IFERROR(Линия5[[#This Row],[Количество]]/Линия5[[#This Row],[Шт. в поддоне]], "")</f>
        <v>15.625</v>
      </c>
    </row>
    <row r="197" spans="1:8" ht="13.8" x14ac:dyDescent="0.25">
      <c r="A197" s="44">
        <f t="shared" si="6"/>
        <v>46079.827020202021</v>
      </c>
      <c r="B197" s="47">
        <f>IFERROR(IF(OR(Линия5[[#This Row],[Дата начала]]="", Линия5[[#This Row],[Длительность]]=""), 1/0, Линия5[[#This Row],[Дата начала]]+Линия5[[#This Row],[Длительность]]), "")</f>
        <v>46079.889520202021</v>
      </c>
      <c r="C197" s="28">
        <f t="shared" si="4"/>
        <v>6.25E-2</v>
      </c>
      <c r="D197" s="34"/>
      <c r="E197" s="34" t="s">
        <v>153</v>
      </c>
      <c r="F197" s="34"/>
      <c r="G197" s="34"/>
      <c r="H197" s="48" t="str">
        <f>IFERROR(Линия5[[#This Row],[Количество]]/Линия5[[#This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scale="57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6394-6619-4AF1-8E0B-9BFDD0DC8294}">
  <sheetPr codeName="Лист6"/>
  <dimension ref="A1:H45"/>
  <sheetViews>
    <sheetView zoomScaleNormal="100" workbookViewId="0">
      <selection activeCell="A35" sqref="A35:XFD45"/>
    </sheetView>
  </sheetViews>
  <sheetFormatPr defaultRowHeight="13.8" x14ac:dyDescent="0.25"/>
  <cols>
    <col min="1" max="2" width="15.59765625" customWidth="1"/>
    <col min="3" max="3" width="15.8984375" customWidth="1"/>
    <col min="4" max="4" width="11.3984375" customWidth="1"/>
    <col min="5" max="5" width="39.69921875" bestFit="1" customWidth="1"/>
    <col min="6" max="6" width="13.69921875" customWidth="1"/>
    <col min="7" max="7" width="16.69921875" style="64" bestFit="1" customWidth="1"/>
    <col min="8" max="8" width="18.8984375" customWidth="1"/>
    <col min="10" max="10" width="53.5" customWidth="1"/>
  </cols>
  <sheetData>
    <row r="1" spans="1:8" ht="20.399999999999999" x14ac:dyDescent="0.35">
      <c r="A1" s="165" t="s">
        <v>354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08" t="s">
        <v>145</v>
      </c>
      <c r="B2" s="108" t="s">
        <v>146</v>
      </c>
      <c r="C2" s="109" t="s">
        <v>147</v>
      </c>
      <c r="D2" s="110" t="s">
        <v>148</v>
      </c>
      <c r="E2" s="110" t="s">
        <v>149</v>
      </c>
      <c r="F2" s="110" t="s">
        <v>150</v>
      </c>
      <c r="G2" s="110" t="s">
        <v>151</v>
      </c>
      <c r="H2" s="111" t="s">
        <v>152</v>
      </c>
    </row>
    <row r="3" spans="1:8" hidden="1" x14ac:dyDescent="0.25">
      <c r="A3" s="47" t="e">
        <f>#REF!</f>
        <v>#REF!</v>
      </c>
      <c r="B3" s="47" t="e">
        <f>Линия6[[#This Row],[Дата начала]]+Линия6[[#This Row],[Длительность]]</f>
        <v>#REF!</v>
      </c>
      <c r="C3" s="32" t="str">
        <f t="shared" ref="C3:C32" si="0">IF(E3="Вытеснение",TIME(0,30,0),
IF(E3="Передача смены",TIME(0,20,0),
IF(E3="Запуск",TIME(0,30,0),
IF(E3="CIP 1",TIME(0,30,0),
IF(E3="CIP 2",TIME(2,0,0),
IF(E3="CIP 3",TIME(3,0,0),
IF(E3="Переналадка формата",TIME(3,0,0),
IF(AND(ISNUMBER(F3),ISNUMBER(D3),D3&gt;0),F3/D3/24,"Ошибка"))))))))</f>
        <v>Ошибка</v>
      </c>
      <c r="D3" s="29"/>
      <c r="E3" s="112"/>
      <c r="F3" s="112"/>
      <c r="G3" s="29"/>
      <c r="H3" s="31" t="str">
        <f>IFERROR(Линия6[[#This Row],[Количество]]/Линия6[[#This Row],[Шт. в поддоне]], "")</f>
        <v/>
      </c>
    </row>
    <row r="4" spans="1:8" hidden="1" x14ac:dyDescent="0.25">
      <c r="A4" s="47">
        <v>46002.333333333336</v>
      </c>
      <c r="B4" s="47">
        <f>Линия6[[#This Row],[Дата начала]]+Линия6[[#This Row],[Длительность]]</f>
        <v>46002.416666666672</v>
      </c>
      <c r="C4" s="32">
        <f t="shared" si="0"/>
        <v>8.3333333333333329E-2</v>
      </c>
      <c r="D4" s="29"/>
      <c r="E4" s="113" t="s">
        <v>153</v>
      </c>
      <c r="F4" s="114"/>
      <c r="G4" s="29"/>
      <c r="H4" s="31" t="str">
        <f>IFERROR(Линия6[[#This Row],[Количество]]/Линия6[[#This Row],[Шт. в поддоне]], "")</f>
        <v/>
      </c>
    </row>
    <row r="5" spans="1:8" hidden="1" x14ac:dyDescent="0.25">
      <c r="A5" s="47">
        <f>B4</f>
        <v>46002.416666666672</v>
      </c>
      <c r="B5" s="47">
        <f>Линия6[[#This Row],[Дата начала]]+Линия6[[#This Row],[Длительность]]</f>
        <v>46003.138888888891</v>
      </c>
      <c r="C5" s="32">
        <f t="shared" si="0"/>
        <v>0.72222222222222221</v>
      </c>
      <c r="D5" s="29">
        <v>300</v>
      </c>
      <c r="E5" s="113" t="s">
        <v>355</v>
      </c>
      <c r="F5" s="114">
        <v>5200</v>
      </c>
      <c r="G5" s="29">
        <v>200</v>
      </c>
      <c r="H5" s="31">
        <f>IFERROR(Линия6[[#This Row],[Количество]]/Линия6[[#This Row],[Шт. в поддоне]], "")</f>
        <v>26</v>
      </c>
    </row>
    <row r="6" spans="1:8" hidden="1" x14ac:dyDescent="0.25">
      <c r="A6" s="47">
        <f t="shared" ref="A6" si="1">B5</f>
        <v>46003.138888888891</v>
      </c>
      <c r="B6" s="47">
        <f>Линия6[[#This Row],[Дата начала]]+Линия6[[#This Row],[Длительность]]</f>
        <v>46003.159722222226</v>
      </c>
      <c r="C6" s="32">
        <f>IF(E6="Вытеснение",TIME(0,30,0),
IF(E6="Передача смены",TIME(0,20,0),
IF(E6="Запуск",TIME(0,30,0),
IF(E6="CIP 1",TIME(0,30,0),
IF(E6="CIP 2",TIME(2,0,0),
IF(E6="CIP 3",TIME(3,0,0),
IF(E6="Переналадка формата",TIME(3,0,0),
IF(AND(ISNUMBER(F6),ISNUMBER(D6),D6&gt;0),F6/D6/24,"Ошибка"))))))))</f>
        <v>2.0833333333333332E-2</v>
      </c>
      <c r="D6" s="29"/>
      <c r="E6" s="113" t="s">
        <v>162</v>
      </c>
      <c r="F6" s="114"/>
      <c r="G6" s="29"/>
      <c r="H6" s="31" t="str">
        <f>IFERROR(Линия6[[#This Row],[Количество]]/Линия6[[#This Row],[Шт. в поддоне]], "")</f>
        <v/>
      </c>
    </row>
    <row r="7" spans="1:8" hidden="1" x14ac:dyDescent="0.25">
      <c r="A7" s="47">
        <v>46003.458333333336</v>
      </c>
      <c r="B7" s="47">
        <f>Линия6[[#This Row],[Дата начала]]+Линия6[[#This Row],[Длительность]]</f>
        <v>46004.180555555555</v>
      </c>
      <c r="C7" s="32">
        <f t="shared" si="0"/>
        <v>0.72222222222222221</v>
      </c>
      <c r="D7" s="29">
        <v>300</v>
      </c>
      <c r="E7" s="113" t="s">
        <v>356</v>
      </c>
      <c r="F7" s="114">
        <v>5200</v>
      </c>
      <c r="G7" s="29">
        <v>200</v>
      </c>
      <c r="H7" s="31">
        <f>IFERROR(Линия6[[#This Row],[Количество]]/Линия6[[#This Row],[Шт. в поддоне]], "")</f>
        <v>26</v>
      </c>
    </row>
    <row r="8" spans="1:8" hidden="1" x14ac:dyDescent="0.25">
      <c r="A8" s="47">
        <f>B7</f>
        <v>46004.180555555555</v>
      </c>
      <c r="B8" s="47">
        <f>Линия6[[#This Row],[Дата начала]]+Линия6[[#This Row],[Длительность]]</f>
        <v>46004.263888888891</v>
      </c>
      <c r="C8" s="32">
        <f t="shared" si="0"/>
        <v>8.3333333333333329E-2</v>
      </c>
      <c r="D8" s="29"/>
      <c r="E8" s="113" t="s">
        <v>153</v>
      </c>
      <c r="F8" s="114"/>
      <c r="G8" s="29"/>
      <c r="H8" s="31"/>
    </row>
    <row r="9" spans="1:8" hidden="1" x14ac:dyDescent="0.25">
      <c r="A9" s="47">
        <f t="shared" ref="A9:A29" si="2">B8</f>
        <v>46004.263888888891</v>
      </c>
      <c r="B9" s="47">
        <f>Линия6[[#This Row],[Дата начала]]+Линия6[[#This Row],[Длительность]]</f>
        <v>46004.444444444445</v>
      </c>
      <c r="C9" s="32">
        <f t="shared" si="0"/>
        <v>0.18055555555555555</v>
      </c>
      <c r="D9" s="29">
        <v>300</v>
      </c>
      <c r="E9" s="113" t="s">
        <v>357</v>
      </c>
      <c r="F9" s="114">
        <v>1300</v>
      </c>
      <c r="G9" s="29">
        <v>200</v>
      </c>
      <c r="H9" s="31">
        <f>IFERROR(Линия6[[#This Row],[Количество]]/Линия6[[#This Row],[Шт. в поддоне]], "")</f>
        <v>6.5</v>
      </c>
    </row>
    <row r="10" spans="1:8" hidden="1" x14ac:dyDescent="0.25">
      <c r="A10" s="47">
        <f t="shared" si="2"/>
        <v>46004.444444444445</v>
      </c>
      <c r="B10" s="47">
        <f>Линия6[[#This Row],[Дата начала]]+Линия6[[#This Row],[Длительность]]</f>
        <v>46004.465277777781</v>
      </c>
      <c r="C10" s="32">
        <f t="shared" si="0"/>
        <v>2.0833333333333332E-2</v>
      </c>
      <c r="D10" s="29"/>
      <c r="E10" s="113" t="s">
        <v>197</v>
      </c>
      <c r="F10" s="114"/>
      <c r="G10" s="29"/>
      <c r="H10" s="31" t="str">
        <f>IFERROR(Линия6[[#This Row],[Количество]]/Линия6[[#This Row],[Шт. в поддоне]], "")</f>
        <v/>
      </c>
    </row>
    <row r="11" spans="1:8" hidden="1" x14ac:dyDescent="0.25">
      <c r="A11" s="47">
        <f t="shared" si="2"/>
        <v>46004.465277777781</v>
      </c>
      <c r="B11" s="47">
        <f>Линия6[[#This Row],[Дата начала]]+Линия6[[#This Row],[Длительность]]</f>
        <v>46004.645833333336</v>
      </c>
      <c r="C11" s="32">
        <f t="shared" si="0"/>
        <v>0.18055555555555555</v>
      </c>
      <c r="D11" s="29">
        <v>300</v>
      </c>
      <c r="E11" s="113" t="s">
        <v>358</v>
      </c>
      <c r="F11" s="114">
        <v>1300</v>
      </c>
      <c r="G11" s="29">
        <v>200</v>
      </c>
      <c r="H11" s="31">
        <f>IFERROR(Линия6[[#This Row],[Количество]]/Линия6[[#This Row],[Шт. в поддоне]], "")</f>
        <v>6.5</v>
      </c>
    </row>
    <row r="12" spans="1:8" hidden="1" x14ac:dyDescent="0.25">
      <c r="A12" s="47">
        <f t="shared" si="2"/>
        <v>46004.645833333336</v>
      </c>
      <c r="B12" s="47">
        <f>Линия6[[#This Row],[Дата начала]]+Линия6[[#This Row],[Длительность]]</f>
        <v>46004.666666666672</v>
      </c>
      <c r="C12" s="32">
        <f t="shared" si="0"/>
        <v>2.0833333333333332E-2</v>
      </c>
      <c r="D12" s="29"/>
      <c r="E12" s="113" t="s">
        <v>197</v>
      </c>
      <c r="F12" s="114"/>
      <c r="G12" s="29"/>
      <c r="H12" s="31" t="str">
        <f>IFERROR(Линия6[[#This Row],[Количество]]/Линия6[[#This Row],[Шт. в поддоне]], "")</f>
        <v/>
      </c>
    </row>
    <row r="13" spans="1:8" hidden="1" x14ac:dyDescent="0.25">
      <c r="A13" s="47">
        <f t="shared" si="2"/>
        <v>46004.666666666672</v>
      </c>
      <c r="B13" s="47">
        <f>Линия6[[#This Row],[Дата начала]]+Линия6[[#This Row],[Длительность]]</f>
        <v>46004.847222222226</v>
      </c>
      <c r="C13" s="32">
        <f t="shared" si="0"/>
        <v>0.18055555555555555</v>
      </c>
      <c r="D13" s="29">
        <v>300</v>
      </c>
      <c r="E13" s="113" t="s">
        <v>359</v>
      </c>
      <c r="F13" s="114">
        <v>1300</v>
      </c>
      <c r="G13" s="29">
        <v>200</v>
      </c>
      <c r="H13" s="31">
        <f>IFERROR(Линия6[[#This Row],[Количество]]/Линия6[[#This Row],[Шт. в поддоне]], "")</f>
        <v>6.5</v>
      </c>
    </row>
    <row r="14" spans="1:8" hidden="1" x14ac:dyDescent="0.25">
      <c r="A14" s="47">
        <f t="shared" si="2"/>
        <v>46004.847222222226</v>
      </c>
      <c r="B14" s="47">
        <f>Линия6[[#This Row],[Дата начала]]+Линия6[[#This Row],[Длительность]]</f>
        <v>46004.868055555562</v>
      </c>
      <c r="C14" s="32">
        <f t="shared" si="0"/>
        <v>2.0833333333333332E-2</v>
      </c>
      <c r="D14" s="29"/>
      <c r="E14" s="113" t="s">
        <v>197</v>
      </c>
      <c r="F14" s="114"/>
      <c r="G14" s="29"/>
      <c r="H14" s="31" t="str">
        <f>IFERROR(Линия6[[#This Row],[Количество]]/Линия6[[#This Row],[Шт. в поддоне]], "")</f>
        <v/>
      </c>
    </row>
    <row r="15" spans="1:8" hidden="1" x14ac:dyDescent="0.25">
      <c r="A15" s="47">
        <f t="shared" si="2"/>
        <v>46004.868055555562</v>
      </c>
      <c r="B15" s="47">
        <f>Линия6[[#This Row],[Дата начала]]+Линия6[[#This Row],[Длительность]]</f>
        <v>46005.048611111117</v>
      </c>
      <c r="C15" s="32">
        <f t="shared" si="0"/>
        <v>0.18055555555555555</v>
      </c>
      <c r="D15" s="29">
        <v>300</v>
      </c>
      <c r="E15" s="113" t="s">
        <v>360</v>
      </c>
      <c r="F15" s="114">
        <v>1300</v>
      </c>
      <c r="G15" s="29">
        <v>200</v>
      </c>
      <c r="H15" s="31">
        <f>IFERROR(Линия6[[#This Row],[Количество]]/Линия6[[#This Row],[Шт. в поддоне]], "")</f>
        <v>6.5</v>
      </c>
    </row>
    <row r="16" spans="1:8" hidden="1" x14ac:dyDescent="0.25">
      <c r="A16" s="47">
        <f t="shared" si="2"/>
        <v>46005.048611111117</v>
      </c>
      <c r="B16" s="47">
        <f>Линия6[[#This Row],[Дата начала]]+Линия6[[#This Row],[Длительность]]</f>
        <v>46005.069444444453</v>
      </c>
      <c r="C16" s="32">
        <f t="shared" si="0"/>
        <v>2.0833333333333332E-2</v>
      </c>
      <c r="D16" s="29"/>
      <c r="E16" s="113" t="s">
        <v>197</v>
      </c>
      <c r="F16" s="114"/>
      <c r="G16" s="29"/>
      <c r="H16" s="31" t="str">
        <f>IFERROR(Линия6[[#This Row],[Количество]]/Линия6[[#This Row],[Шт. в поддоне]], "")</f>
        <v/>
      </c>
    </row>
    <row r="17" spans="1:8" hidden="1" x14ac:dyDescent="0.25">
      <c r="A17" s="47">
        <f t="shared" si="2"/>
        <v>46005.069444444453</v>
      </c>
      <c r="B17" s="47">
        <f>Линия6[[#This Row],[Дата начала]]+Линия6[[#This Row],[Длительность]]</f>
        <v>46005.250000000007</v>
      </c>
      <c r="C17" s="32">
        <f t="shared" si="0"/>
        <v>0.18055555555555555</v>
      </c>
      <c r="D17" s="29">
        <v>300</v>
      </c>
      <c r="E17" s="113" t="s">
        <v>361</v>
      </c>
      <c r="F17" s="114">
        <v>1300</v>
      </c>
      <c r="G17" s="29">
        <v>200</v>
      </c>
      <c r="H17" s="31">
        <f>IFERROR(Линия6[[#This Row],[Количество]]/Линия6[[#This Row],[Шт. в поддоне]], "")</f>
        <v>6.5</v>
      </c>
    </row>
    <row r="18" spans="1:8" hidden="1" x14ac:dyDescent="0.25">
      <c r="A18" s="47">
        <f t="shared" si="2"/>
        <v>46005.250000000007</v>
      </c>
      <c r="B18" s="47">
        <f>Линия6[[#This Row],[Дата начала]]+Линия6[[#This Row],[Длительность]]</f>
        <v>46005.333333333343</v>
      </c>
      <c r="C18" s="32">
        <f t="shared" si="0"/>
        <v>8.3333333333333329E-2</v>
      </c>
      <c r="D18" s="29"/>
      <c r="E18" s="113" t="s">
        <v>153</v>
      </c>
      <c r="F18" s="114"/>
      <c r="G18" s="29"/>
      <c r="H18" s="31" t="str">
        <f>IFERROR(Линия6[[#This Row],[Количество]]/Линия6[[#This Row],[Шт. в поддоне]], "")</f>
        <v/>
      </c>
    </row>
    <row r="19" spans="1:8" hidden="1" x14ac:dyDescent="0.25">
      <c r="A19" s="47">
        <f t="shared" si="2"/>
        <v>46005.333333333343</v>
      </c>
      <c r="B19" s="47">
        <f>Линия6[[#This Row],[Дата начала]]+Линия6[[#This Row],[Длительность]]</f>
        <v>46005.513888888898</v>
      </c>
      <c r="C19" s="32">
        <f t="shared" si="0"/>
        <v>0.18055555555555555</v>
      </c>
      <c r="D19" s="29">
        <v>300</v>
      </c>
      <c r="E19" s="113" t="s">
        <v>362</v>
      </c>
      <c r="F19" s="114">
        <v>1300</v>
      </c>
      <c r="G19" s="29">
        <v>200</v>
      </c>
      <c r="H19" s="31">
        <f>IFERROR(Линия6[[#This Row],[Количество]]/Линия6[[#This Row],[Шт. в поддоне]], "")</f>
        <v>6.5</v>
      </c>
    </row>
    <row r="20" spans="1:8" hidden="1" x14ac:dyDescent="0.25">
      <c r="A20" s="47">
        <f t="shared" si="2"/>
        <v>46005.513888888898</v>
      </c>
      <c r="B20" s="47">
        <f>Линия6[[#This Row],[Дата начала]]+Линия6[[#This Row],[Длительность]]</f>
        <v>46005.534722222234</v>
      </c>
      <c r="C20" s="32">
        <f t="shared" si="0"/>
        <v>2.0833333333333332E-2</v>
      </c>
      <c r="D20" s="29"/>
      <c r="E20" s="113" t="s">
        <v>197</v>
      </c>
      <c r="F20" s="114"/>
      <c r="G20" s="29"/>
      <c r="H20" s="31" t="str">
        <f>IFERROR(Линия6[[#This Row],[Количество]]/Линия6[[#This Row],[Шт. в поддоне]], "")</f>
        <v/>
      </c>
    </row>
    <row r="21" spans="1:8" hidden="1" x14ac:dyDescent="0.25">
      <c r="A21" s="47">
        <f t="shared" si="2"/>
        <v>46005.534722222234</v>
      </c>
      <c r="B21" s="47">
        <f>Линия6[[#This Row],[Дата начала]]+Линия6[[#This Row],[Длительность]]</f>
        <v>46005.715277777788</v>
      </c>
      <c r="C21" s="32">
        <f t="shared" si="0"/>
        <v>0.18055555555555555</v>
      </c>
      <c r="D21" s="29">
        <v>300</v>
      </c>
      <c r="E21" s="113" t="s">
        <v>363</v>
      </c>
      <c r="F21" s="114">
        <v>1300</v>
      </c>
      <c r="G21" s="29">
        <v>200</v>
      </c>
      <c r="H21" s="31">
        <f>IFERROR(Линия6[[#This Row],[Количество]]/Линия6[[#This Row],[Шт. в поддоне]], "")</f>
        <v>6.5</v>
      </c>
    </row>
    <row r="22" spans="1:8" hidden="1" x14ac:dyDescent="0.25">
      <c r="A22" s="47">
        <f t="shared" si="2"/>
        <v>46005.715277777788</v>
      </c>
      <c r="B22" s="47">
        <f>Линия6[[#This Row],[Дата начала]]+Линия6[[#This Row],[Длительность]]</f>
        <v>46005.736111111124</v>
      </c>
      <c r="C22" s="32">
        <f t="shared" si="0"/>
        <v>2.0833333333333332E-2</v>
      </c>
      <c r="D22" s="29"/>
      <c r="E22" s="113" t="s">
        <v>197</v>
      </c>
      <c r="F22" s="114"/>
      <c r="G22" s="29"/>
      <c r="H22" s="31" t="str">
        <f>IFERROR(Линия6[[#This Row],[Количество]]/Линия6[[#This Row],[Шт. в поддоне]], "")</f>
        <v/>
      </c>
    </row>
    <row r="23" spans="1:8" hidden="1" x14ac:dyDescent="0.25">
      <c r="A23" s="47">
        <f t="shared" si="2"/>
        <v>46005.736111111124</v>
      </c>
      <c r="B23" s="47">
        <f>Линия6[[#This Row],[Дата начала]]+Линия6[[#This Row],[Длительность]]</f>
        <v>46005.916666666679</v>
      </c>
      <c r="C23" s="32">
        <f t="shared" si="0"/>
        <v>0.18055555555555555</v>
      </c>
      <c r="D23" s="29">
        <v>300</v>
      </c>
      <c r="E23" s="113" t="s">
        <v>364</v>
      </c>
      <c r="F23" s="114">
        <v>1300</v>
      </c>
      <c r="G23" s="29">
        <v>200</v>
      </c>
      <c r="H23" s="31">
        <f>IFERROR(Линия6[[#This Row],[Количество]]/Линия6[[#This Row],[Шт. в поддоне]], "")</f>
        <v>6.5</v>
      </c>
    </row>
    <row r="24" spans="1:8" hidden="1" x14ac:dyDescent="0.25">
      <c r="A24" s="47">
        <f t="shared" si="2"/>
        <v>46005.916666666679</v>
      </c>
      <c r="B24" s="47">
        <f>Линия6[[#This Row],[Дата начала]]+Линия6[[#This Row],[Длительность]]</f>
        <v>46005.937500000015</v>
      </c>
      <c r="C24" s="32">
        <f t="shared" si="0"/>
        <v>2.0833333333333332E-2</v>
      </c>
      <c r="D24" s="29"/>
      <c r="E24" s="113" t="s">
        <v>197</v>
      </c>
      <c r="F24" s="114"/>
      <c r="G24" s="29"/>
      <c r="H24" s="31" t="str">
        <f>IFERROR(Линия6[[#This Row],[Количество]]/Линия6[[#This Row],[Шт. в поддоне]], "")</f>
        <v/>
      </c>
    </row>
    <row r="25" spans="1:8" hidden="1" x14ac:dyDescent="0.25">
      <c r="A25" s="47">
        <f t="shared" si="2"/>
        <v>46005.937500000015</v>
      </c>
      <c r="B25" s="47">
        <f>Линия6[[#This Row],[Дата начала]]+Линия6[[#This Row],[Длительность]]</f>
        <v>46006.118055555569</v>
      </c>
      <c r="C25" s="32">
        <f t="shared" si="0"/>
        <v>0.18055555555555555</v>
      </c>
      <c r="D25" s="29">
        <v>300</v>
      </c>
      <c r="E25" s="113" t="s">
        <v>365</v>
      </c>
      <c r="F25" s="114">
        <v>1300</v>
      </c>
      <c r="G25" s="29">
        <v>200</v>
      </c>
      <c r="H25" s="31">
        <f>IFERROR(Линия6[[#This Row],[Количество]]/Линия6[[#This Row],[Шт. в поддоне]], "")</f>
        <v>6.5</v>
      </c>
    </row>
    <row r="26" spans="1:8" hidden="1" x14ac:dyDescent="0.25">
      <c r="A26" s="47">
        <f t="shared" si="2"/>
        <v>46006.118055555569</v>
      </c>
      <c r="B26" s="47">
        <f>Линия6[[#This Row],[Дата начала]]+Линия6[[#This Row],[Длительность]]</f>
        <v>46006.201388888905</v>
      </c>
      <c r="C26" s="32">
        <f t="shared" si="0"/>
        <v>8.3333333333333329E-2</v>
      </c>
      <c r="D26" s="29"/>
      <c r="E26" s="113" t="s">
        <v>153</v>
      </c>
      <c r="F26" s="114"/>
      <c r="G26" s="29"/>
      <c r="H26" s="31" t="str">
        <f>IFERROR(Линия6[[#This Row],[Количество]]/Линия6[[#This Row],[Шт. в поддоне]], "")</f>
        <v/>
      </c>
    </row>
    <row r="27" spans="1:8" hidden="1" x14ac:dyDescent="0.25">
      <c r="A27" s="47">
        <f t="shared" si="2"/>
        <v>46006.201388888905</v>
      </c>
      <c r="B27" s="47">
        <f>Линия6[[#This Row],[Дата начала]]+Линия6[[#This Row],[Длительность]]</f>
        <v>46006.923611111124</v>
      </c>
      <c r="C27" s="32">
        <f t="shared" si="0"/>
        <v>0.72222222222222221</v>
      </c>
      <c r="D27" s="29">
        <v>300</v>
      </c>
      <c r="E27" s="113" t="s">
        <v>355</v>
      </c>
      <c r="F27" s="114">
        <v>5200</v>
      </c>
      <c r="G27" s="29">
        <v>200</v>
      </c>
      <c r="H27" s="31">
        <f>IFERROR(Линия6[[#This Row],[Количество]]/Линия6[[#This Row],[Шт. в поддоне]], "")</f>
        <v>26</v>
      </c>
    </row>
    <row r="28" spans="1:8" hidden="1" x14ac:dyDescent="0.25">
      <c r="A28" s="47">
        <f t="shared" si="2"/>
        <v>46006.923611111124</v>
      </c>
      <c r="B28" s="47">
        <f>Линия6[[#This Row],[Дата начала]]+Линия6[[#This Row],[Длительность]]</f>
        <v>46006.94444444446</v>
      </c>
      <c r="C28" s="32">
        <f t="shared" si="0"/>
        <v>2.0833333333333332E-2</v>
      </c>
      <c r="D28" s="29"/>
      <c r="E28" s="113" t="s">
        <v>197</v>
      </c>
      <c r="F28" s="114"/>
      <c r="G28" s="29"/>
      <c r="H28" s="31" t="str">
        <f>IFERROR(Линия6[[#This Row],[Количество]]/Линия6[[#This Row],[Шт. в поддоне]], "")</f>
        <v/>
      </c>
    </row>
    <row r="29" spans="1:8" hidden="1" x14ac:dyDescent="0.25">
      <c r="A29" s="47">
        <f t="shared" si="2"/>
        <v>46006.94444444446</v>
      </c>
      <c r="B29" s="47">
        <f>Линия6[[#This Row],[Дата начала]]+Линия6[[#This Row],[Длительность]]</f>
        <v>46007.666666666679</v>
      </c>
      <c r="C29" s="32">
        <f t="shared" si="0"/>
        <v>0.72222222222222221</v>
      </c>
      <c r="D29" s="29">
        <v>300</v>
      </c>
      <c r="E29" s="113" t="s">
        <v>356</v>
      </c>
      <c r="F29" s="114">
        <v>5200</v>
      </c>
      <c r="G29" s="29">
        <v>200</v>
      </c>
      <c r="H29" s="31">
        <f>IFERROR(Линия6[[#This Row],[Количество]]/Линия6[[#This Row],[Шт. в поддоне]], "")</f>
        <v>26</v>
      </c>
    </row>
    <row r="30" spans="1:8" hidden="1" x14ac:dyDescent="0.25">
      <c r="A30" s="47">
        <v>46037.833333333336</v>
      </c>
      <c r="B30" s="47">
        <f>Линия6[[#This Row],[Дата начала]]+Линия6[[#This Row],[Длительность]]</f>
        <v>46037.916666666672</v>
      </c>
      <c r="C30" s="32">
        <f t="shared" si="0"/>
        <v>8.3333333333333329E-2</v>
      </c>
      <c r="D30" s="29"/>
      <c r="E30" s="113" t="s">
        <v>153</v>
      </c>
      <c r="F30" s="115"/>
      <c r="G30" s="29"/>
      <c r="H30" s="31" t="str">
        <f>IFERROR(Линия6[[#This Row],[Количество]]/Линия6[[#This Row],[Шт. в поддоне]], "")</f>
        <v/>
      </c>
    </row>
    <row r="31" spans="1:8" hidden="1" x14ac:dyDescent="0.25">
      <c r="A31" s="45">
        <f t="shared" ref="A31:A33" si="3">B30</f>
        <v>46037.916666666672</v>
      </c>
      <c r="B31" s="45">
        <f>Линия6[[#This Row],[Дата начала]]+Линия6[[#This Row],[Длительность]]</f>
        <v>46038.097222222226</v>
      </c>
      <c r="C31" s="32">
        <f t="shared" si="0"/>
        <v>0.18055555555555555</v>
      </c>
      <c r="D31" s="29">
        <v>300</v>
      </c>
      <c r="E31" s="113" t="s">
        <v>355</v>
      </c>
      <c r="F31" s="115">
        <v>1300</v>
      </c>
      <c r="G31" s="29">
        <v>200</v>
      </c>
      <c r="H31" s="31">
        <f>IFERROR(Линия6[[#This Row],[Количество]]/Линия6[[#This Row],[Шт. в поддоне]], "")</f>
        <v>6.5</v>
      </c>
    </row>
    <row r="32" spans="1:8" hidden="1" x14ac:dyDescent="0.25">
      <c r="A32" s="45">
        <f t="shared" si="3"/>
        <v>46038.097222222226</v>
      </c>
      <c r="B32" s="45">
        <f>Линия6[[#This Row],[Дата начала]]+Линия6[[#This Row],[Длительность]]</f>
        <v>46038.118055555562</v>
      </c>
      <c r="C32" s="32">
        <f t="shared" si="0"/>
        <v>2.0833333333333332E-2</v>
      </c>
      <c r="D32" s="29"/>
      <c r="E32" s="113" t="s">
        <v>162</v>
      </c>
      <c r="F32" s="115"/>
      <c r="G32" s="29"/>
      <c r="H32" s="31" t="str">
        <f>IFERROR(Линия6[[#This Row],[Количество]]/Линия6[[#This Row],[Шт. в поддоне]], "")</f>
        <v/>
      </c>
    </row>
    <row r="33" spans="1:8" hidden="1" x14ac:dyDescent="0.25">
      <c r="A33" s="45">
        <f t="shared" si="3"/>
        <v>46038.118055555562</v>
      </c>
      <c r="B33" s="45">
        <f>Линия6[[#This Row],[Дата начала]]+Линия6[[#This Row],[Длительность]]</f>
        <v>46038.479166666672</v>
      </c>
      <c r="C33" s="32">
        <f>IF(E33="Вытеснение",TIME(0,30,0),
IF(E33="Передача смены",TIME(0,20,0),
IF(E33="Запуск",TIME(0,30,0),
IF(E33="CIP 1",TIME(0,30,0),
IF(E33="CIP 2",TIME(2,0,0),
IF(E33="CIP 3",TIME(3,0,0),
IF(E33="Переналадка формата",TIME(3,0,0),
IF(AND(ISNUMBER(F33),ISNUMBER(D33),D33&gt;0),F33/D33/24,"Ошибка"))))))))</f>
        <v>0.3611111111111111</v>
      </c>
      <c r="D33" s="29">
        <v>300</v>
      </c>
      <c r="E33" s="113" t="s">
        <v>366</v>
      </c>
      <c r="F33" s="115">
        <v>2600</v>
      </c>
      <c r="G33" s="29">
        <v>200</v>
      </c>
      <c r="H33" s="31">
        <f>IFERROR(Линия6[[#This Row],[Количество]]/Линия6[[#This Row],[Шт. в поддоне]], "")</f>
        <v>13</v>
      </c>
    </row>
    <row r="34" spans="1:8" hidden="1" x14ac:dyDescent="0.25">
      <c r="A34" s="45">
        <f>B33</f>
        <v>46038.479166666672</v>
      </c>
      <c r="B34" s="45">
        <f>Линия6[[#This Row],[Дата начала]]+Линия6[[#This Row],[Длительность]]</f>
        <v>46038.562500000007</v>
      </c>
      <c r="C34" s="116">
        <f>IF(E34="Вытеснение",TIME(0,30,0),
IF(E34="Передача смены",TIME(0,20,0),
IF(E34="Запуск",TIME(0,30,0),
IF(E34="CIP 1",TIME(0,30,0),
IF(E34="CIP 2",TIME(2,0,0),
IF(E34="CIP 3",TIME(3,0,0),
IF(E34="Переналадка формата",TIME(3,0,0),
IF(AND(ISNUMBER(F34),ISNUMBER(D34),D34&gt;0),F34/D34/24,"Ошибка"))))))))</f>
        <v>8.3333333333333329E-2</v>
      </c>
      <c r="D34" s="34"/>
      <c r="E34" s="113" t="s">
        <v>153</v>
      </c>
      <c r="F34" s="117"/>
      <c r="G34" s="34"/>
      <c r="H34" s="88" t="str">
        <f>IFERROR(Линия6[[#This Row],[Количество]]/Линия6[[#This Row],[Шт. в поддоне]], "")</f>
        <v/>
      </c>
    </row>
    <row r="35" spans="1:8" hidden="1" x14ac:dyDescent="0.25">
      <c r="A35" s="47">
        <v>46062.333333333336</v>
      </c>
      <c r="B35" s="47">
        <f>Линия6[[#This Row],[Дата начала]]+Линия6[[#This Row],[Длительность]]</f>
        <v>46062.416666666672</v>
      </c>
      <c r="C35" s="32">
        <f>IF(E35="Вытеснение",TIME(0,30,0),
IF(E35="Передача смены",TIME(0,20,0),
IF(E35="Запуск",TIME(0,30,0),
IF(E35="CIP 1",TIME(0,30,0),
IF(E35="CIP 2",TIME(2,0,0),
IF(E35="CIP 3",TIME(3,0,0),
IF(E35="Переналадка формата",TIME(3,0,0),
IF(AND(ISNUMBER(F35),ISNUMBER(D35),D35&gt;0),F35/D35/24,"Ошибка"))))))))</f>
        <v>8.3333333333333329E-2</v>
      </c>
      <c r="D35" s="29"/>
      <c r="E35" s="118" t="s">
        <v>153</v>
      </c>
      <c r="F35" s="119"/>
      <c r="G35" s="29"/>
      <c r="H35" s="31" t="str">
        <f>IFERROR(Линия6[[#This Row],[Количество]]/Линия6[[#This Row],[Шт. в поддоне]], "")</f>
        <v/>
      </c>
    </row>
    <row r="36" spans="1:8" hidden="1" x14ac:dyDescent="0.25">
      <c r="A36" s="47">
        <f t="shared" ref="A36:A45" si="4">B35</f>
        <v>46062.416666666672</v>
      </c>
      <c r="B36" s="47">
        <f>Линия6[[#This Row],[Дата начала]]+Линия6[[#This Row],[Длительность]]</f>
        <v>46062.777777777781</v>
      </c>
      <c r="C36" s="32">
        <f t="shared" ref="C36:C43" si="5">IF(E38="Вытеснение",TIME(0,30,0),
IF(E38="Передача смены",TIME(0,20,0),
IF(E38="Запуск",TIME(0,30,0),
IF(E38="CIP 1",TIME(0,30,0),
IF(E38="CIP 2",TIME(2,0,0),
IF(E38="CIP 3",TIME(3,0,0),
IF(E38="Переналадка формата",TIME(3,0,0),
IF(AND(ISNUMBER(F38),ISNUMBER(D36),D36&gt;0),F38/D36/24,"Ошибка"))))))))</f>
        <v>0.3611111111111111</v>
      </c>
      <c r="D36" s="29">
        <v>300</v>
      </c>
      <c r="E36" s="113" t="s">
        <v>357</v>
      </c>
      <c r="F36" s="120">
        <v>1300</v>
      </c>
      <c r="G36" s="29">
        <v>200</v>
      </c>
      <c r="H36" s="31">
        <f>IFERROR(Линия6[[#This Row],[Количество]]/Линия6[[#This Row],[Шт. в поддоне]], "")</f>
        <v>6.5</v>
      </c>
    </row>
    <row r="37" spans="1:8" hidden="1" x14ac:dyDescent="0.25">
      <c r="A37" s="47">
        <f t="shared" si="4"/>
        <v>46062.777777777781</v>
      </c>
      <c r="B37" s="47">
        <f>Линия6[[#This Row],[Дата начала]]+Линия6[[#This Row],[Длительность]]</f>
        <v>46062.798611111117</v>
      </c>
      <c r="C37" s="32">
        <f t="shared" si="5"/>
        <v>2.0833333333333332E-2</v>
      </c>
      <c r="D37" s="29"/>
      <c r="E37" s="121" t="s">
        <v>162</v>
      </c>
      <c r="F37" s="122"/>
      <c r="G37" s="29"/>
      <c r="H37" s="31" t="str">
        <f>IFERROR(Линия6[[#This Row],[Количество]]/Линия6[[#This Row],[Шт. в поддоне]], "")</f>
        <v/>
      </c>
    </row>
    <row r="38" spans="1:8" hidden="1" x14ac:dyDescent="0.25">
      <c r="A38" s="47">
        <f t="shared" si="4"/>
        <v>46062.798611111117</v>
      </c>
      <c r="B38" s="47">
        <f>Линия6[[#This Row],[Дата начала]]+Линия6[[#This Row],[Длительность]]</f>
        <v>46063.520833333336</v>
      </c>
      <c r="C38" s="32">
        <f t="shared" si="5"/>
        <v>0.72222222222222221</v>
      </c>
      <c r="D38" s="29">
        <v>300</v>
      </c>
      <c r="E38" s="113" t="s">
        <v>367</v>
      </c>
      <c r="F38" s="120">
        <v>2600</v>
      </c>
      <c r="G38" s="29">
        <v>200</v>
      </c>
      <c r="H38" s="31">
        <f>IFERROR(Линия6[[#This Row],[Количество]]/Линия6[[#This Row],[Шт. в поддоне]], "")</f>
        <v>13</v>
      </c>
    </row>
    <row r="39" spans="1:8" hidden="1" x14ac:dyDescent="0.25">
      <c r="A39" s="47">
        <f t="shared" si="4"/>
        <v>46063.520833333336</v>
      </c>
      <c r="B39" s="47">
        <f>Линия6[[#This Row],[Дата начала]]+Линия6[[#This Row],[Длительность]]</f>
        <v>46063.541666666672</v>
      </c>
      <c r="C39" s="32">
        <f t="shared" si="5"/>
        <v>2.0833333333333332E-2</v>
      </c>
      <c r="D39" s="29"/>
      <c r="E39" s="118" t="s">
        <v>162</v>
      </c>
      <c r="F39" s="119"/>
      <c r="G39" s="29"/>
      <c r="H39" s="31" t="str">
        <f>IFERROR(Линия6[[#This Row],[Количество]]/Линия6[[#This Row],[Шт. в поддоне]], "")</f>
        <v/>
      </c>
    </row>
    <row r="40" spans="1:8" hidden="1" x14ac:dyDescent="0.25">
      <c r="A40" s="47">
        <f t="shared" si="4"/>
        <v>46063.541666666672</v>
      </c>
      <c r="B40" s="47">
        <f>Линия6[[#This Row],[Дата начала]]+Линия6[[#This Row],[Длительность]]</f>
        <v>46064.444444444453</v>
      </c>
      <c r="C40" s="32">
        <f t="shared" si="5"/>
        <v>0.90277777777777779</v>
      </c>
      <c r="D40" s="29">
        <v>300</v>
      </c>
      <c r="E40" s="113" t="s">
        <v>355</v>
      </c>
      <c r="F40" s="120">
        <v>5200</v>
      </c>
      <c r="G40" s="29">
        <v>200</v>
      </c>
      <c r="H40" s="31">
        <f>IFERROR(Линия6[[#This Row],[Количество]]/Линия6[[#This Row],[Шт. в поддоне]], "")</f>
        <v>26</v>
      </c>
    </row>
    <row r="41" spans="1:8" hidden="1" x14ac:dyDescent="0.25">
      <c r="A41" s="47">
        <f t="shared" si="4"/>
        <v>46064.444444444453</v>
      </c>
      <c r="B41" s="47">
        <f>Линия6[[#This Row],[Дата начала]]+Линия6[[#This Row],[Длительность]]</f>
        <v>46064.465277777788</v>
      </c>
      <c r="C41" s="32">
        <f t="shared" si="5"/>
        <v>2.0833333333333332E-2</v>
      </c>
      <c r="D41" s="29"/>
      <c r="E41" s="118" t="s">
        <v>162</v>
      </c>
      <c r="F41" s="119"/>
      <c r="G41" s="29"/>
      <c r="H41" s="31" t="str">
        <f>IFERROR(Линия6[[#This Row],[Количество]]/Линия6[[#This Row],[Шт. в поддоне]], "")</f>
        <v/>
      </c>
    </row>
    <row r="42" spans="1:8" hidden="1" x14ac:dyDescent="0.25">
      <c r="A42" s="47">
        <f t="shared" si="4"/>
        <v>46064.465277777788</v>
      </c>
      <c r="B42" s="47">
        <f>Линия6[[#This Row],[Дата начала]]+Линия6[[#This Row],[Длительность]]</f>
        <v>46064.645833333343</v>
      </c>
      <c r="C42" s="32">
        <f t="shared" si="5"/>
        <v>0.18055555555555555</v>
      </c>
      <c r="D42" s="29">
        <v>300</v>
      </c>
      <c r="E42" s="113" t="s">
        <v>356</v>
      </c>
      <c r="F42" s="120">
        <v>6500</v>
      </c>
      <c r="G42" s="29">
        <v>200</v>
      </c>
      <c r="H42" s="31">
        <f>IFERROR(Линия6[[#This Row],[Количество]]/Линия6[[#This Row],[Шт. в поддоне]], "")</f>
        <v>32.5</v>
      </c>
    </row>
    <row r="43" spans="1:8" hidden="1" x14ac:dyDescent="0.25">
      <c r="A43" s="47">
        <f t="shared" si="4"/>
        <v>46064.645833333343</v>
      </c>
      <c r="B43" s="47">
        <f>Линия6[[#This Row],[Дата начала]]+Линия6[[#This Row],[Длительность]]</f>
        <v>46064.729166666679</v>
      </c>
      <c r="C43" s="32">
        <f t="shared" si="5"/>
        <v>8.3333333333333329E-2</v>
      </c>
      <c r="D43" s="29"/>
      <c r="E43" s="118" t="s">
        <v>162</v>
      </c>
      <c r="F43" s="119"/>
      <c r="G43" s="29"/>
      <c r="H43" s="31" t="str">
        <f>IFERROR(Линия6[[#This Row],[Количество]]/Линия6[[#This Row],[Шт. в поддоне]], "")</f>
        <v/>
      </c>
    </row>
    <row r="44" spans="1:8" hidden="1" x14ac:dyDescent="0.25">
      <c r="A44" s="47">
        <f t="shared" si="4"/>
        <v>46064.729166666679</v>
      </c>
      <c r="B44" s="47">
        <f>Линия6[[#This Row],[Дата начала]]+Линия6[[#This Row],[Длительность]]</f>
        <v>46064.909722222234</v>
      </c>
      <c r="C44" s="32">
        <f>IF(E36="Вытеснение",TIME(0,30,0),
IF(E36="Передача смены",TIME(0,20,0),
IF(E36="Запуск",TIME(0,30,0),
IF(E36="CIP 1",TIME(0,30,0),
IF(E36="CIP 2",TIME(2,0,0),
IF(E36="CIP 3",TIME(3,0,0),
IF(E36="Переналадка формата",TIME(3,0,0),
IF(AND(ISNUMBER(F36),ISNUMBER(D44),D44&gt;0),F36/D44/24,"Ошибка"))))))))</f>
        <v>0.18055555555555555</v>
      </c>
      <c r="D44" s="29">
        <v>300</v>
      </c>
      <c r="E44" s="113" t="s">
        <v>368</v>
      </c>
      <c r="F44" s="120">
        <v>1300</v>
      </c>
      <c r="G44" s="29">
        <v>200</v>
      </c>
      <c r="H44" s="31">
        <f>IFERROR(Линия6[[#This Row],[Количество]]/Линия6[[#This Row],[Шт. в поддоне]], "")</f>
        <v>6.5</v>
      </c>
    </row>
    <row r="45" spans="1:8" hidden="1" x14ac:dyDescent="0.25">
      <c r="A45" s="45">
        <f t="shared" si="4"/>
        <v>46064.909722222234</v>
      </c>
      <c r="B45" s="45">
        <f>Линия6[[#This Row],[Дата начала]]+Линия6[[#This Row],[Длительность]]</f>
        <v>46064.930555555569</v>
      </c>
      <c r="C45" s="116">
        <f>IF(E37="Вытеснение",TIME(0,30,0),
IF(E37="Передача смены",TIME(0,20,0),
IF(E37="Запуск",TIME(0,30,0),
IF(E37="CIP 1",TIME(0,30,0),
IF(E37="CIP 2",TIME(2,0,0),
IF(E37="CIP 3",TIME(3,0,0),
IF(E37="Переналадка формата",TIME(3,0,0),
IF(AND(ISNUMBER(F37),ISNUMBER(D45),D45&gt;0),F37/D45/24,"Ошибка"))))))))</f>
        <v>2.0833333333333332E-2</v>
      </c>
      <c r="D45" s="34"/>
      <c r="E45" s="118" t="s">
        <v>153</v>
      </c>
      <c r="F45" s="119"/>
      <c r="G45" s="34"/>
      <c r="H45" s="88" t="str">
        <f>IFERROR(Линия6[[#This Row],[Количество]]/Линия6[[#This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37E4-EC69-444E-855A-9883A4C726D4}">
  <sheetPr codeName="Лист7">
    <pageSetUpPr fitToPage="1"/>
  </sheetPr>
  <dimension ref="A1:H52"/>
  <sheetViews>
    <sheetView zoomScale="70" zoomScaleNormal="70" workbookViewId="0">
      <selection activeCell="E18" sqref="E18"/>
    </sheetView>
  </sheetViews>
  <sheetFormatPr defaultRowHeight="13.8" x14ac:dyDescent="0.25"/>
  <cols>
    <col min="1" max="1" width="15.5" bestFit="1" customWidth="1"/>
    <col min="2" max="2" width="18.19921875" customWidth="1"/>
    <col min="3" max="3" width="19.3984375" bestFit="1" customWidth="1"/>
    <col min="4" max="4" width="14.69921875" bestFit="1" customWidth="1"/>
    <col min="5" max="5" width="69.09765625" customWidth="1"/>
    <col min="6" max="6" width="16.8984375" style="73" bestFit="1" customWidth="1"/>
    <col min="7" max="7" width="19.3984375" style="73" bestFit="1" customWidth="1"/>
    <col min="8" max="8" width="22.19921875" bestFit="1" customWidth="1"/>
    <col min="10" max="10" width="54.59765625" customWidth="1"/>
  </cols>
  <sheetData>
    <row r="1" spans="1:8" ht="20.399999999999999" x14ac:dyDescent="0.35">
      <c r="A1" s="165" t="s">
        <v>369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01" t="s">
        <v>145</v>
      </c>
      <c r="B2" s="102" t="s">
        <v>146</v>
      </c>
      <c r="C2" s="123" t="s">
        <v>147</v>
      </c>
      <c r="D2" s="104" t="s">
        <v>148</v>
      </c>
      <c r="E2" s="104" t="s">
        <v>149</v>
      </c>
      <c r="F2" s="104" t="s">
        <v>150</v>
      </c>
      <c r="G2" s="104" t="s">
        <v>151</v>
      </c>
      <c r="H2" s="105" t="s">
        <v>152</v>
      </c>
    </row>
    <row r="3" spans="1:8" hidden="1" x14ac:dyDescent="0.25">
      <c r="A3" s="44" t="e">
        <f>#REF!</f>
        <v>#REF!</v>
      </c>
      <c r="B3" s="47" t="e">
        <f>Линия7[[#This Row],[Дата начала]]+Линия7[[#This Row],[Длительность]]</f>
        <v>#REF!</v>
      </c>
      <c r="C3" s="32" cm="1">
        <f t="array" ref="C3">IFERROR(_xlfn.SWITCH(E3,
  "Вытеснение", TIME(0,30,0),
  "Передача смены", TIME(0,20,0),
  "Запуск", TIME(0,10,0),
  "CIP 1", TIME(0,20,0),
  "CIP 2", TIME(2,0,0),
  "CIP 3", TIME(2,0,0),
  IF(AND(ISNUMBER(F3),ISNUMBER(D3),D3&gt;0), F3/D3/24, "")
), "")</f>
        <v>8.3333333333333329E-2</v>
      </c>
      <c r="D3" s="29">
        <v>200</v>
      </c>
      <c r="E3" s="29" t="s">
        <v>370</v>
      </c>
      <c r="F3" s="29">
        <v>400</v>
      </c>
      <c r="G3" s="29">
        <v>480</v>
      </c>
      <c r="H3" s="48">
        <f>IFERROR(Линия7[[#This Row],[Количество]]/Линия7[[#This Row],[Шт. в поддоне]], "")</f>
        <v>0.83333333333333337</v>
      </c>
    </row>
    <row r="4" spans="1:8" hidden="1" x14ac:dyDescent="0.25">
      <c r="A4" s="44" t="e">
        <f t="shared" ref="A4:A6" si="0">B3</f>
        <v>#REF!</v>
      </c>
      <c r="B4" s="47" t="e">
        <f>Линия7[[#This Row],[Дата начала]]+Линия7[[#This Row],[Длительность]]</f>
        <v>#REF!</v>
      </c>
      <c r="C4" s="116" cm="1">
        <f t="array" ref="C4">IFERROR(_xlfn.SWITCH(E4,
  "Вытеснение", TIME(0,30,0),
  "Передача смены", TIME(0,20,0),
  "Запуск", TIME(0,10,0),
  "CIP 1", TIME(0,20,0),
  "CIP 2", TIME(2,0,0),
  "CIP 3", TIME(2,0,0),
  IF(AND(ISNUMBER(F4),ISNUMBER(D4),D4&gt;0), F4/D4/24, "")
), "")</f>
        <v>1.3888888888888888E-2</v>
      </c>
      <c r="D4" s="34"/>
      <c r="E4" s="34" t="s">
        <v>197</v>
      </c>
      <c r="F4" s="34"/>
      <c r="G4" s="34"/>
      <c r="H4" s="48" t="str">
        <f>IFERROR(Линия7[[#This Row],[Количество]]/Линия7[[#This Row],[Шт. в поддоне]], "")</f>
        <v/>
      </c>
    </row>
    <row r="5" spans="1:8" hidden="1" x14ac:dyDescent="0.25">
      <c r="A5" s="44" t="e">
        <f t="shared" si="0"/>
        <v>#REF!</v>
      </c>
      <c r="B5" s="47" t="e">
        <f>Линия7[[#This Row],[Дата начала]]+Линия7[[#This Row],[Длительность]]</f>
        <v>#REF!</v>
      </c>
      <c r="C5" s="116" cm="1">
        <f t="array" ref="C5">IFERROR(_xlfn.SWITCH(E5,
  "Вытеснение", TIME(0,30,0),
  "Передача смены", TIME(0,20,0),
  "Запуск", TIME(0,10,0),
  "CIP 1", TIME(0,20,0),
  "CIP 2", TIME(2,0,0),
  "CIP 3", TIME(2,0,0),
  IF(AND(ISNUMBER(F5),ISNUMBER(D5),D5&gt;0), F5/D5/24, "")
), "")</f>
        <v>0.16666666666666666</v>
      </c>
      <c r="D5" s="34">
        <v>200</v>
      </c>
      <c r="E5" s="34" t="s">
        <v>371</v>
      </c>
      <c r="F5" s="34">
        <v>800</v>
      </c>
      <c r="G5" s="29">
        <v>480</v>
      </c>
      <c r="H5" s="48">
        <f>IFERROR(Линия7[[#This Row],[Количество]]/Линия7[[#This Row],[Шт. в поддоне]], "")</f>
        <v>1.6666666666666667</v>
      </c>
    </row>
    <row r="6" spans="1:8" hidden="1" x14ac:dyDescent="0.25">
      <c r="A6" s="44" t="e">
        <f t="shared" si="0"/>
        <v>#REF!</v>
      </c>
      <c r="B6" s="47" t="e">
        <f>Линия7[[#This Row],[Дата начала]]+Линия7[[#This Row],[Длительность]]</f>
        <v>#REF!</v>
      </c>
      <c r="C6" s="32" cm="1">
        <f t="array" ref="C6">IFERROR(_xlfn.SWITCH(E6,
  "Вытеснение", TIME(0,30,0),
  "Передача смены", TIME(0,20,0),
  "Запуск", TIME(0,10,0),
  "CIP 1", TIME(0,20,0),
  "CIP 2", TIME(2,0,0),
  "CIP 3", TIME(2,0,0),
  IF(AND(ISNUMBER(F6),ISNUMBER(D6),D6&gt;0), F6/D6/24, "")
), "")</f>
        <v>8.3333333333333329E-2</v>
      </c>
      <c r="D6" s="34"/>
      <c r="E6" s="34" t="s">
        <v>153</v>
      </c>
      <c r="F6" s="34"/>
      <c r="G6" s="34"/>
      <c r="H6" s="48" t="str">
        <f>IFERROR(Линия7[[#This Row],[Количество]]/Линия7[[#This Row],[Шт. в поддоне]], "")</f>
        <v/>
      </c>
    </row>
    <row r="7" spans="1:8" hidden="1" x14ac:dyDescent="0.25">
      <c r="A7" s="44"/>
      <c r="B7" s="47"/>
      <c r="C7" s="32" t="str" cm="1">
        <f t="array" ref="C7">IFERROR(_xlfn.SWITCH(E7,
  "Вытеснение", TIME(0,30,0),
  "Передача смены", TIME(0,20,0),
  "Запуск", TIME(0,10,0),
  "CIP 1", TIME(0,20,0),
  "CIP 2", TIME(2,0,0),
  "CIP 3", TIME(2,0,0),
  IF(AND(ISNUMBER(F7),ISNUMBER(D7),D7&gt;0), F7/D7/24, "")
), "")</f>
        <v/>
      </c>
      <c r="D7" s="29"/>
      <c r="E7" s="124" t="s">
        <v>372</v>
      </c>
      <c r="F7" s="124">
        <v>1600</v>
      </c>
      <c r="G7" s="29"/>
      <c r="H7" s="48" t="str">
        <f>IFERROR(Линия7[[#This Row],[Количество]]/Линия7[[#This Row],[Шт. в поддоне]], "")</f>
        <v/>
      </c>
    </row>
    <row r="8" spans="1:8" hidden="1" x14ac:dyDescent="0.25">
      <c r="A8" s="44"/>
      <c r="B8" s="47"/>
      <c r="C8" s="32" t="str" cm="1">
        <f t="array" ref="C8">IFERROR(_xlfn.SWITCH(E8,
  "Вытеснение", TIME(0,30,0),
  "Передача смены", TIME(0,20,0),
  "Запуск", TIME(0,10,0),
  "CIP 1", TIME(0,20,0),
  "CIP 2", TIME(2,0,0),
  "CIP 3", TIME(2,0,0),
  IF(AND(ISNUMBER(F8),ISNUMBER(D8),D8&gt;0), F8/D8/24, "")
), "")</f>
        <v/>
      </c>
      <c r="D8" s="38"/>
      <c r="E8" s="38" t="s">
        <v>373</v>
      </c>
      <c r="F8" s="38"/>
      <c r="G8" s="38"/>
      <c r="H8" s="83" t="str">
        <f>IFERROR(Линия7[[#This Row],[Количество]]/Линия7[[#This Row],[Шт. в поддоне]], "")</f>
        <v/>
      </c>
    </row>
    <row r="9" spans="1:8" hidden="1" x14ac:dyDescent="0.25">
      <c r="A9" s="44">
        <f>'Линия 2'!B98</f>
        <v>46081.865340991208</v>
      </c>
      <c r="B9" s="47">
        <f>Линия7[[#This Row],[Дата начала]]+Линия7[[#This Row],[Длительность]]</f>
        <v>46081.948674324543</v>
      </c>
      <c r="C9" s="32" cm="1">
        <f t="array" ref="C9">IFERROR(_xlfn.SWITCH(E9,
  "Вытеснение", TIME(0,30,0),
  "Передача смены", TIME(0,20,0),
  "Запуск", TIME(0,10,0),
  "CIP 1", TIME(0,20,0),
  "CIP 2", TIME(2,0,0),
  "CIP 3", TIME(2,0,0),
  IF(AND(ISNUMBER(F9),ISNUMBER(D9),D9&gt;0), F9/D9/24, "")
), "")</f>
        <v>8.3333333333333329E-2</v>
      </c>
      <c r="D9" s="29"/>
      <c r="E9" s="64" t="s">
        <v>153</v>
      </c>
      <c r="F9" s="29"/>
      <c r="G9" s="29"/>
      <c r="H9" s="48" t="str">
        <f>IFERROR(Линия7[[#This Row],[Количество]]/Линия7[[#This Row],[Шт. в поддоне]], "")</f>
        <v/>
      </c>
    </row>
    <row r="10" spans="1:8" hidden="1" x14ac:dyDescent="0.25">
      <c r="A10" s="44">
        <f t="shared" ref="A10:A17" si="1">B9</f>
        <v>46081.948674324543</v>
      </c>
      <c r="B10" s="47">
        <f>Линия7[[#This Row],[Дата начала]]+Линия7[[#This Row],[Длительность]]</f>
        <v>46082.032007657879</v>
      </c>
      <c r="C10" s="32" cm="1">
        <f t="array" ref="C10">IFERROR(_xlfn.SWITCH(E10,
  "Вытеснение", TIME(0,30,0),
  "Передача смены", TIME(0,20,0),
  "Запуск", TIME(0,10,0),
  "CIP 1", TIME(0,20,0),
  "CIP 2", TIME(2,0,0),
  "CIP 3", TIME(2,0,0),
  IF(AND(ISNUMBER(F10),ISNUMBER(D10),D10&gt;0), F10/D10/24, "")
), "")</f>
        <v>8.3333333333333329E-2</v>
      </c>
      <c r="D10" s="29">
        <v>200</v>
      </c>
      <c r="E10" s="29" t="s">
        <v>374</v>
      </c>
      <c r="F10" s="29">
        <v>400</v>
      </c>
      <c r="G10" s="29">
        <v>480</v>
      </c>
      <c r="H10" s="48">
        <f>IFERROR(Линия7[[#This Row],[Количество]]/Линия7[[#This Row],[Шт. в поддоне]], "")</f>
        <v>0.83333333333333337</v>
      </c>
    </row>
    <row r="11" spans="1:8" hidden="1" x14ac:dyDescent="0.25">
      <c r="A11" s="44">
        <f t="shared" si="1"/>
        <v>46082.032007657879</v>
      </c>
      <c r="B11" s="47">
        <f>Линия7[[#This Row],[Дата начала]]+Линия7[[#This Row],[Длительность]]</f>
        <v>46082.04589654677</v>
      </c>
      <c r="C11" s="32" cm="1">
        <f t="array" ref="C11">IFERROR(_xlfn.SWITCH(E11,
  "Вытеснение", TIME(0,30,0),
  "Передача смены", TIME(0,20,0),
  "Запуск", TIME(0,10,0),
  "CIP 1", TIME(0,20,0),
  "CIP 2", TIME(2,0,0),
  "CIP 3", TIME(2,0,0),
  IF(AND(ISNUMBER(F11),ISNUMBER(D11),D11&gt;0), F11/D11/24, "")
), "")</f>
        <v>1.3888888888888888E-2</v>
      </c>
      <c r="D11" s="29"/>
      <c r="E11" s="64" t="s">
        <v>197</v>
      </c>
      <c r="F11" s="29"/>
      <c r="G11" s="29"/>
      <c r="H11" s="48" t="str">
        <f>IFERROR(Линия7[[#This Row],[Количество]]/Линия7[[#This Row],[Шт. в поддоне]], "")</f>
        <v/>
      </c>
    </row>
    <row r="12" spans="1:8" hidden="1" x14ac:dyDescent="0.25">
      <c r="A12" s="44">
        <f t="shared" si="1"/>
        <v>46082.04589654677</v>
      </c>
      <c r="B12" s="47">
        <f>Линия7[[#This Row],[Дата начала]]+Линия7[[#This Row],[Длительность]]</f>
        <v>46082.212563213434</v>
      </c>
      <c r="C12" s="32" cm="1">
        <f t="array" ref="C12">IFERROR(_xlfn.SWITCH(E12,
  "Вытеснение", TIME(0,30,0),
  "Передача смены", TIME(0,20,0),
  "Запуск", TIME(0,10,0),
  "CIP 1", TIME(0,20,0),
  "CIP 2", TIME(2,0,0),
  "CIP 3", TIME(2,0,0),
  IF(AND(ISNUMBER(F12),ISNUMBER(D12),D12&gt;0), F12/D12/24, "")
), "")</f>
        <v>0.16666666666666666</v>
      </c>
      <c r="D12" s="29">
        <v>200</v>
      </c>
      <c r="E12" s="29" t="s">
        <v>375</v>
      </c>
      <c r="F12" s="29">
        <v>800</v>
      </c>
      <c r="G12" s="29">
        <v>480</v>
      </c>
      <c r="H12" s="48">
        <f>IFERROR(Линия7[[#This Row],[Количество]]/Линия7[[#This Row],[Шт. в поддоне]], "")</f>
        <v>1.6666666666666667</v>
      </c>
    </row>
    <row r="13" spans="1:8" hidden="1" x14ac:dyDescent="0.25">
      <c r="A13" s="44">
        <f t="shared" si="1"/>
        <v>46082.212563213434</v>
      </c>
      <c r="B13" s="47">
        <f>Линия7[[#This Row],[Дата начала]]+Линия7[[#This Row],[Длительность]]</f>
        <v>46082.226452102324</v>
      </c>
      <c r="C13" s="32" cm="1">
        <f t="array" ref="C13">IFERROR(_xlfn.SWITCH(E13,
  "Вытеснение", TIME(0,30,0),
  "Передача смены", TIME(0,20,0),
  "Запуск", TIME(0,10,0),
  "CIP 1", TIME(0,20,0),
  "CIP 2", TIME(2,0,0),
  "CIP 3", TIME(2,0,0),
  IF(AND(ISNUMBER(F13),ISNUMBER(D13),D13&gt;0), F13/D13/24, "")
), "")</f>
        <v>1.3888888888888888E-2</v>
      </c>
      <c r="D13" s="29"/>
      <c r="E13" s="64" t="s">
        <v>197</v>
      </c>
      <c r="F13" s="29"/>
      <c r="G13" s="29"/>
      <c r="H13" s="48" t="str">
        <f>IFERROR(Линия7[[#This Row],[Количество]]/Линия7[[#This Row],[Шт. в поддоне]], "")</f>
        <v/>
      </c>
    </row>
    <row r="14" spans="1:8" hidden="1" x14ac:dyDescent="0.25">
      <c r="A14" s="44">
        <f t="shared" si="1"/>
        <v>46082.226452102324</v>
      </c>
      <c r="B14" s="47">
        <f>Линия7[[#This Row],[Дата начала]]+Линия7[[#This Row],[Длительность]]</f>
        <v>46082.643118768989</v>
      </c>
      <c r="C14" s="32" cm="1">
        <f t="array" ref="C14">IFERROR(_xlfn.SWITCH(E14,
  "Вытеснение", TIME(0,30,0),
  "Передача смены", TIME(0,20,0),
  "Запуск", TIME(0,10,0),
  "CIP 1", TIME(0,20,0),
  "CIP 2", TIME(2,0,0),
  "CIP 3", TIME(2,0,0),
  IF(AND(ISNUMBER(F14),ISNUMBER(D14),D14&gt;0), F14/D14/24, "")
), "")</f>
        <v>0.41666666666666669</v>
      </c>
      <c r="D14" s="29">
        <v>200</v>
      </c>
      <c r="E14" s="29" t="s">
        <v>376</v>
      </c>
      <c r="F14" s="49">
        <v>2000</v>
      </c>
      <c r="G14" s="29">
        <v>480</v>
      </c>
      <c r="H14" s="48">
        <f>IFERROR(Линия7[[#This Row],[Количество]]/Линия7[[#This Row],[Шт. в поддоне]], "")</f>
        <v>4.166666666666667</v>
      </c>
    </row>
    <row r="15" spans="1:8" hidden="1" x14ac:dyDescent="0.25">
      <c r="A15" s="44">
        <f t="shared" si="1"/>
        <v>46082.643118768989</v>
      </c>
      <c r="B15" s="47">
        <f>Линия7[[#This Row],[Дата начала]]+Линия7[[#This Row],[Длительность]]</f>
        <v>46082.726452102324</v>
      </c>
      <c r="C15" s="32" cm="1">
        <f t="array" ref="C15">IFERROR(_xlfn.SWITCH(E15,
  "Вытеснение", TIME(0,30,0),
  "Передача смены", TIME(0,20,0),
  "Запуск", TIME(0,10,0),
  "CIP 1", TIME(0,20,0),
  "CIP 2", TIME(2,0,0),
  "CIP 3", TIME(2,0,0),
  IF(AND(ISNUMBER(F15),ISNUMBER(D15),D15&gt;0), F15/D15/24, "")
), "")</f>
        <v>8.3333333333333329E-2</v>
      </c>
      <c r="D15" s="29"/>
      <c r="E15" s="64" t="s">
        <v>153</v>
      </c>
      <c r="F15" s="29"/>
      <c r="G15" s="29"/>
      <c r="H15" s="48" t="str">
        <f>IFERROR(Линия7[[#This Row],[Количество]]/Линия7[[#This Row],[Шт. в поддоне]], "")</f>
        <v/>
      </c>
    </row>
    <row r="16" spans="1:8" hidden="1" x14ac:dyDescent="0.25">
      <c r="A16" s="44">
        <f t="shared" si="1"/>
        <v>46082.726452102324</v>
      </c>
      <c r="B16" s="47">
        <f>Линия7[[#This Row],[Дата начала]]+Линия7[[#This Row],[Длительность]]</f>
        <v>46082.80978543566</v>
      </c>
      <c r="C16" s="32" cm="1">
        <f t="array" ref="C16">IFERROR(_xlfn.SWITCH(E16,
  "Вытеснение", TIME(0,30,0),
  "Передача смены", TIME(0,20,0),
  "Запуск", TIME(0,10,0),
  "CIP 1", TIME(0,20,0),
  "CIP 2", TIME(2,0,0),
  "CIP 3", TIME(2,0,0),
  IF(AND(ISNUMBER(F16),ISNUMBER(D16),D16&gt;0), F16/D16/24, "")
), "")</f>
        <v>8.3333333333333329E-2</v>
      </c>
      <c r="D16" s="29">
        <v>200</v>
      </c>
      <c r="E16" s="29" t="s">
        <v>377</v>
      </c>
      <c r="F16" s="49">
        <v>400</v>
      </c>
      <c r="G16" s="29">
        <v>480</v>
      </c>
      <c r="H16" s="48">
        <f>IFERROR(Линия7[[#This Row],[Количество]]/Линия7[[#This Row],[Шт. в поддоне]], "")</f>
        <v>0.83333333333333337</v>
      </c>
    </row>
    <row r="17" spans="1:8" hidden="1" x14ac:dyDescent="0.25">
      <c r="A17" s="44">
        <f t="shared" si="1"/>
        <v>46082.80978543566</v>
      </c>
      <c r="B17" s="47">
        <f>Линия7[[#This Row],[Дата начала]]+Линия7[[#This Row],[Длительность]]</f>
        <v>46082.893118768996</v>
      </c>
      <c r="C17" s="32" cm="1">
        <f t="array" ref="C17">IFERROR(_xlfn.SWITCH(E17,
  "Вытеснение", TIME(0,30,0),
  "Передача смены", TIME(0,20,0),
  "Запуск", TIME(0,10,0),
  "CIP 1", TIME(0,20,0),
  "CIP 2", TIME(2,0,0),
  "CIP 3", TIME(2,0,0),
  IF(AND(ISNUMBER(F17),ISNUMBER(D17),D17&gt;0), F17/D17/24, "")
), "")</f>
        <v>8.3333333333333329E-2</v>
      </c>
      <c r="D17" s="34"/>
      <c r="E17" s="64" t="s">
        <v>153</v>
      </c>
      <c r="F17" s="34"/>
      <c r="G17" s="34"/>
      <c r="H17" s="46" t="str">
        <f>IFERROR(Линия7[[#This Row],[Количество]]/Линия7[[#This Row],[Шт. в поддоне]], "")</f>
        <v/>
      </c>
    </row>
    <row r="18" spans="1:8" x14ac:dyDescent="0.25">
      <c r="E18" s="73"/>
      <c r="F18"/>
      <c r="G18"/>
    </row>
    <row r="19" spans="1:8" x14ac:dyDescent="0.25">
      <c r="E19" s="73"/>
      <c r="F19"/>
      <c r="G19"/>
    </row>
    <row r="20" spans="1:8" x14ac:dyDescent="0.25">
      <c r="E20" s="73"/>
      <c r="F20"/>
      <c r="G20"/>
    </row>
    <row r="21" spans="1:8" x14ac:dyDescent="0.25">
      <c r="E21" s="73"/>
      <c r="F21"/>
      <c r="G21"/>
    </row>
    <row r="22" spans="1:8" x14ac:dyDescent="0.25">
      <c r="E22" s="73"/>
      <c r="F22"/>
      <c r="G22"/>
    </row>
    <row r="23" spans="1:8" x14ac:dyDescent="0.25">
      <c r="E23" s="73"/>
      <c r="F23"/>
      <c r="G23"/>
    </row>
    <row r="24" spans="1:8" x14ac:dyDescent="0.25">
      <c r="E24" s="73"/>
      <c r="F24"/>
      <c r="G24"/>
    </row>
    <row r="25" spans="1:8" x14ac:dyDescent="0.25">
      <c r="E25" s="73"/>
      <c r="F25"/>
      <c r="G25"/>
    </row>
    <row r="26" spans="1:8" x14ac:dyDescent="0.25">
      <c r="F26"/>
      <c r="G26"/>
    </row>
    <row r="27" spans="1:8" x14ac:dyDescent="0.25">
      <c r="F27"/>
      <c r="G27"/>
    </row>
    <row r="28" spans="1:8" x14ac:dyDescent="0.25">
      <c r="F28"/>
      <c r="G28"/>
    </row>
    <row r="29" spans="1:8" x14ac:dyDescent="0.25">
      <c r="F29"/>
      <c r="G29"/>
    </row>
    <row r="30" spans="1:8" x14ac:dyDescent="0.25">
      <c r="F30"/>
      <c r="G30"/>
    </row>
    <row r="31" spans="1:8" x14ac:dyDescent="0.25">
      <c r="F31"/>
      <c r="G31"/>
    </row>
    <row r="32" spans="1:8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F40"/>
      <c r="G40"/>
    </row>
    <row r="41" spans="6:7" x14ac:dyDescent="0.25">
      <c r="F41"/>
      <c r="G41"/>
    </row>
    <row r="42" spans="6:7" x14ac:dyDescent="0.25">
      <c r="F42"/>
      <c r="G42"/>
    </row>
    <row r="43" spans="6:7" x14ac:dyDescent="0.25">
      <c r="F43"/>
      <c r="G43"/>
    </row>
    <row r="44" spans="6:7" x14ac:dyDescent="0.25">
      <c r="F44"/>
      <c r="G44"/>
    </row>
    <row r="45" spans="6:7" x14ac:dyDescent="0.25">
      <c r="F45"/>
      <c r="G45"/>
    </row>
    <row r="46" spans="6:7" x14ac:dyDescent="0.25">
      <c r="F46"/>
      <c r="G46"/>
    </row>
    <row r="47" spans="6:7" x14ac:dyDescent="0.25">
      <c r="F47"/>
      <c r="G47"/>
    </row>
    <row r="48" spans="6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</sheetData>
  <mergeCells count="1">
    <mergeCell ref="A1:H1"/>
  </mergeCells>
  <pageMargins left="0.7" right="0.7" top="0.75" bottom="0.75" header="0.3" footer="0.3"/>
  <pageSetup paperSize="9" scale="61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0791-1D07-4E5D-A435-D712D4B5E1CE}">
  <sheetPr codeName="Лист9"/>
  <dimension ref="A1:F7"/>
  <sheetViews>
    <sheetView zoomScale="70" zoomScaleNormal="70" workbookViewId="0">
      <selection activeCell="H28" sqref="H28"/>
    </sheetView>
  </sheetViews>
  <sheetFormatPr defaultRowHeight="13.8" x14ac:dyDescent="0.25"/>
  <cols>
    <col min="1" max="1" width="15.69921875" bestFit="1" customWidth="1"/>
    <col min="2" max="2" width="19.3984375" customWidth="1"/>
    <col min="3" max="3" width="13.8984375" style="62" bestFit="1" customWidth="1"/>
    <col min="4" max="4" width="9.3984375" bestFit="1" customWidth="1"/>
    <col min="5" max="5" width="39.69921875" bestFit="1" customWidth="1"/>
    <col min="6" max="6" width="11.5" bestFit="1" customWidth="1"/>
  </cols>
  <sheetData>
    <row r="1" spans="1:6" ht="20.399999999999999" x14ac:dyDescent="0.35">
      <c r="A1" s="165" t="s">
        <v>378</v>
      </c>
      <c r="B1" s="165"/>
      <c r="C1" s="165"/>
      <c r="D1" s="165"/>
      <c r="E1" s="165"/>
      <c r="F1" s="165"/>
    </row>
    <row r="2" spans="1:6" x14ac:dyDescent="0.25">
      <c r="A2" s="101" t="s">
        <v>145</v>
      </c>
      <c r="B2" s="102" t="s">
        <v>146</v>
      </c>
      <c r="C2" s="125" t="s">
        <v>147</v>
      </c>
      <c r="D2" s="104" t="s">
        <v>148</v>
      </c>
      <c r="E2" s="104" t="s">
        <v>149</v>
      </c>
      <c r="F2" s="104" t="s">
        <v>150</v>
      </c>
    </row>
    <row r="3" spans="1:6" hidden="1" x14ac:dyDescent="0.25">
      <c r="A3" s="44">
        <v>45996.333333333336</v>
      </c>
      <c r="B3" s="45">
        <f>Линия9[[#This Row],[Дата начала]]+Линия9[[#This Row],[Длительность]]</f>
        <v>45996.611111111117</v>
      </c>
      <c r="C3" s="33">
        <f>IF(E3="Вытеснение",TIME(0,30,0),
IF(E3="Передача смены",TIME(0,20,0),
IF(E3="Запуск",TIME(0,30,0),
IF(E3="Смена ассортимента",TIME(0,15,0),
IF(E3="Стерилизация",TIME(0,40,0),
IF(E3="CIP 2",TIME(4,0,0),
IF(E3="CIP 3",TIME(5,0,0),
IF(E3="Переналадка формата",TIME(5,0,0),
IF(AND(ISNUMBER(F3),ISNUMBER(D3),D3&gt;0),F3/D3/24,"Ошибка")))))))))</f>
        <v>0.27777777777777779</v>
      </c>
      <c r="D3" s="29">
        <v>15</v>
      </c>
      <c r="E3" s="29" t="s">
        <v>379</v>
      </c>
      <c r="F3" s="29">
        <v>100</v>
      </c>
    </row>
    <row r="4" spans="1:6" hidden="1" x14ac:dyDescent="0.25">
      <c r="A4" s="44">
        <f t="shared" ref="A4:A6" si="0">B3</f>
        <v>45996.611111111117</v>
      </c>
      <c r="B4" s="45">
        <f>Линия9[[#This Row],[Дата начала]]+Линия9[[#This Row],[Длительность]]</f>
        <v>45996.888888888898</v>
      </c>
      <c r="C4" s="33">
        <f t="shared" ref="C4:C5" si="1">IF(E4="Вытеснение",TIME(0,30,0),
IF(E4="Передача смены",TIME(0,20,0),
IF(E4="Запуск",TIME(0,30,0),
IF(E4="Смена ассортимента",TIME(0,15,0),
IF(E4="Стерилизация",TIME(0,40,0),
IF(E4="CIP 2",TIME(4,0,0),
IF(E4="CIP 3",TIME(5,0,0),
IF(E4="Переналадка формата",TIME(5,0,0),
IF(AND(ISNUMBER(F4),ISNUMBER(D4),D4&gt;0),F4/D4/24,"Ошибка")))))))))</f>
        <v>0.27777777777777779</v>
      </c>
      <c r="D4" s="29">
        <v>15</v>
      </c>
      <c r="E4" s="29" t="s">
        <v>379</v>
      </c>
      <c r="F4" s="29">
        <v>100</v>
      </c>
    </row>
    <row r="5" spans="1:6" hidden="1" x14ac:dyDescent="0.25">
      <c r="A5" s="44">
        <f t="shared" si="0"/>
        <v>45996.888888888898</v>
      </c>
      <c r="B5" s="45">
        <f>Линия9[[#This Row],[Дата начала]]+Линия9[[#This Row],[Длительность]]</f>
        <v>45997.166666666679</v>
      </c>
      <c r="C5" s="33">
        <f t="shared" si="1"/>
        <v>0.27777777777777779</v>
      </c>
      <c r="D5" s="29">
        <v>15</v>
      </c>
      <c r="E5" s="29" t="s">
        <v>379</v>
      </c>
      <c r="F5" s="29">
        <v>100</v>
      </c>
    </row>
    <row r="6" spans="1:6" hidden="1" x14ac:dyDescent="0.25">
      <c r="A6" s="44">
        <f t="shared" si="0"/>
        <v>45997.166666666679</v>
      </c>
      <c r="B6" s="45">
        <f>Линия9[[#This Row],[Дата начала]]+Линия9[[#This Row],[Длительность]]</f>
        <v>45997.500000000015</v>
      </c>
      <c r="C6" s="33">
        <v>0.33333333333333331</v>
      </c>
      <c r="D6" s="34"/>
      <c r="E6" s="34" t="s">
        <v>380</v>
      </c>
      <c r="F6" s="34"/>
    </row>
    <row r="7" spans="1:6" hidden="1" x14ac:dyDescent="0.25">
      <c r="A7" s="59"/>
      <c r="B7" s="60"/>
      <c r="C7" s="36"/>
      <c r="D7" s="38"/>
      <c r="E7" s="38" t="s">
        <v>381</v>
      </c>
      <c r="F7" s="38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E47-A77B-4F61-BFE1-49BDC190CB6E}">
  <sheetPr codeName="Лист8"/>
  <dimension ref="A1:H25"/>
  <sheetViews>
    <sheetView zoomScale="85" zoomScaleNormal="85" workbookViewId="0">
      <selection activeCell="B56" sqref="B56"/>
    </sheetView>
  </sheetViews>
  <sheetFormatPr defaultRowHeight="13.8" x14ac:dyDescent="0.25"/>
  <cols>
    <col min="1" max="2" width="14.8984375" bestFit="1" customWidth="1"/>
    <col min="3" max="3" width="13.8984375" bestFit="1" customWidth="1"/>
    <col min="4" max="4" width="9.3984375" bestFit="1" customWidth="1"/>
    <col min="5" max="5" width="39.69921875" bestFit="1" customWidth="1"/>
    <col min="6" max="6" width="19.5" customWidth="1"/>
    <col min="7" max="7" width="13.8984375" bestFit="1" customWidth="1"/>
    <col min="8" max="8" width="16.59765625" bestFit="1" customWidth="1"/>
  </cols>
  <sheetData>
    <row r="1" spans="1:8" ht="20.399999999999999" x14ac:dyDescent="0.35">
      <c r="A1" s="165" t="s">
        <v>382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01" t="s">
        <v>145</v>
      </c>
      <c r="B2" s="102" t="s">
        <v>146</v>
      </c>
      <c r="C2" s="123" t="s">
        <v>147</v>
      </c>
      <c r="D2" s="104" t="s">
        <v>148</v>
      </c>
      <c r="E2" s="104" t="s">
        <v>149</v>
      </c>
      <c r="F2" s="104" t="s">
        <v>150</v>
      </c>
      <c r="G2" s="104" t="s">
        <v>151</v>
      </c>
      <c r="H2" s="105" t="s">
        <v>152</v>
      </c>
    </row>
    <row r="3" spans="1:8" hidden="1" x14ac:dyDescent="0.25">
      <c r="A3" s="44">
        <v>46049.333333333336</v>
      </c>
      <c r="B3" s="47">
        <f>Линия8[[#This Row],[Дата начала]]+Линия8[[#This Row],[Длительность]]</f>
        <v>46051.71428571429</v>
      </c>
      <c r="C3" s="28">
        <f t="shared" ref="C3:C12" si="0">IF(E3="Вытеснение",TIME(0,30,0),
IF(E3="Передача смены",TIME(0,20,0),
IF(E3="Запуск",TIME(0,30,0),
IF(E3="Смена ассортимента",TIME(0,15,0),
IF(E3="Стерилизация",TIME(0,40,0),
IF(E3="CIP 2",TIME(4,0,0),
IF(E3="CIP 3",TIME(5,0,0),
IF(E3="мойка",TIME(8,0,0),
IF(AND(ISNUMBER(F3),ISNUMBER(D3),D3&gt;0),F3/D3/24,"Ошибка")))))))))</f>
        <v>2.3809523809523809</v>
      </c>
      <c r="D3" s="29">
        <v>210</v>
      </c>
      <c r="E3" s="29" t="s">
        <v>383</v>
      </c>
      <c r="F3" s="29">
        <v>12000</v>
      </c>
      <c r="G3" s="29">
        <v>56</v>
      </c>
      <c r="H3" s="48">
        <f>Линия8[[#This Row],[Количество]]/Линия8[[#This Row],[Шт. в поддоне]]</f>
        <v>214.28571428571428</v>
      </c>
    </row>
    <row r="4" spans="1:8" hidden="1" x14ac:dyDescent="0.25">
      <c r="A4" s="126">
        <v>46052.958333333336</v>
      </c>
      <c r="B4" s="47">
        <f>Линия8[[#This Row],[Дата начала]]+Линия8[[#This Row],[Длительность]]</f>
        <v>46053.291666666672</v>
      </c>
      <c r="C4" s="28">
        <f t="shared" si="0"/>
        <v>0.33333333333333331</v>
      </c>
      <c r="D4" s="34"/>
      <c r="E4" s="34" t="s">
        <v>384</v>
      </c>
      <c r="F4" s="34"/>
      <c r="G4" s="34"/>
      <c r="H4" s="46"/>
    </row>
    <row r="5" spans="1:8" hidden="1" x14ac:dyDescent="0.25">
      <c r="A5" s="126">
        <f>B4</f>
        <v>46053.291666666672</v>
      </c>
      <c r="B5" s="47">
        <f>Линия8[[#This Row],[Дата начала]]+Линия8[[#This Row],[Длительность]]</f>
        <v>46055.672619047626</v>
      </c>
      <c r="C5" s="28">
        <f t="shared" si="0"/>
        <v>2.3809523809523809</v>
      </c>
      <c r="D5" s="29">
        <v>210</v>
      </c>
      <c r="E5" s="29" t="s">
        <v>383</v>
      </c>
      <c r="F5" s="29">
        <v>12000</v>
      </c>
      <c r="G5" s="29">
        <v>56</v>
      </c>
      <c r="H5" s="48">
        <f>Линия8[[#This Row],[Количество]]/Линия8[[#This Row],[Шт. в поддоне]]</f>
        <v>214.28571428571428</v>
      </c>
    </row>
    <row r="6" spans="1:8" hidden="1" x14ac:dyDescent="0.25">
      <c r="A6" s="126">
        <v>46056.005952380961</v>
      </c>
      <c r="B6" s="47">
        <f>Линия8[[#This Row],[Дата начала]]+Линия8[[#This Row],[Длительность]]</f>
        <v>46058.386904761916</v>
      </c>
      <c r="C6" s="28">
        <f t="shared" si="0"/>
        <v>2.3809523809523809</v>
      </c>
      <c r="D6" s="29">
        <v>210</v>
      </c>
      <c r="E6" s="29" t="s">
        <v>383</v>
      </c>
      <c r="F6" s="29">
        <v>12000</v>
      </c>
      <c r="G6" s="29">
        <v>56</v>
      </c>
      <c r="H6" s="48">
        <f>Линия8[[#This Row],[Количество]]/Линия8[[#This Row],[Шт. в поддоне]]</f>
        <v>214.28571428571428</v>
      </c>
    </row>
    <row r="7" spans="1:8" hidden="1" x14ac:dyDescent="0.25">
      <c r="A7" s="126">
        <f>B6</f>
        <v>46058.386904761916</v>
      </c>
      <c r="B7" s="47">
        <f>Линия8[[#This Row],[Дата начала]]+Линия8[[#This Row],[Длительность]]</f>
        <v>46058.720238095251</v>
      </c>
      <c r="C7" s="28">
        <f t="shared" si="0"/>
        <v>0.33333333333333331</v>
      </c>
      <c r="D7" s="34"/>
      <c r="E7" s="34" t="s">
        <v>384</v>
      </c>
      <c r="F7" s="34"/>
      <c r="G7" s="34"/>
      <c r="H7" s="46"/>
    </row>
    <row r="8" spans="1:8" hidden="1" x14ac:dyDescent="0.25">
      <c r="A8" s="126">
        <f t="shared" ref="A8:A25" si="1">B7</f>
        <v>46058.720238095251</v>
      </c>
      <c r="B8" s="47">
        <f>Линия8[[#This Row],[Дата начала]]+Линия8[[#This Row],[Длительность]]</f>
        <v>46060.376190476207</v>
      </c>
      <c r="C8" s="28">
        <f t="shared" si="0"/>
        <v>1.6559523809523808</v>
      </c>
      <c r="D8" s="29">
        <v>210</v>
      </c>
      <c r="E8" s="29" t="s">
        <v>383</v>
      </c>
      <c r="F8" s="29">
        <v>8346</v>
      </c>
      <c r="G8" s="29">
        <v>56</v>
      </c>
      <c r="H8" s="48">
        <f>Линия8[[#This Row],[Количество]]/Линия8[[#This Row],[Шт. в поддоне]]</f>
        <v>149.03571428571428</v>
      </c>
    </row>
    <row r="9" spans="1:8" hidden="1" x14ac:dyDescent="0.25">
      <c r="A9" s="126">
        <f t="shared" si="1"/>
        <v>46060.376190476207</v>
      </c>
      <c r="B9" s="47">
        <f>Линия8[[#This Row],[Дата начала]]+Линия8[[#This Row],[Длительность]]</f>
        <v>46060.397023809543</v>
      </c>
      <c r="C9" s="28">
        <f t="shared" si="0"/>
        <v>2.0833333333333332E-2</v>
      </c>
      <c r="D9" s="34"/>
      <c r="E9" s="34" t="s">
        <v>189</v>
      </c>
      <c r="F9" s="34"/>
      <c r="G9" s="34"/>
      <c r="H9" s="46"/>
    </row>
    <row r="10" spans="1:8" hidden="1" x14ac:dyDescent="0.25">
      <c r="A10" s="126">
        <f t="shared" si="1"/>
        <v>46060.397023809543</v>
      </c>
      <c r="B10" s="47">
        <f>Линия8[[#This Row],[Дата начала]]+Линия8[[#This Row],[Длительность]]</f>
        <v>46060.525357142877</v>
      </c>
      <c r="C10" s="28">
        <f t="shared" si="0"/>
        <v>0.12833333333333333</v>
      </c>
      <c r="D10" s="29">
        <v>200</v>
      </c>
      <c r="E10" s="29" t="s">
        <v>385</v>
      </c>
      <c r="F10" s="29">
        <v>616</v>
      </c>
      <c r="G10" s="29"/>
      <c r="H10" s="48"/>
    </row>
    <row r="11" spans="1:8" hidden="1" x14ac:dyDescent="0.25">
      <c r="A11" s="126">
        <f t="shared" si="1"/>
        <v>46060.525357142877</v>
      </c>
      <c r="B11" s="47">
        <f>Линия8[[#This Row],[Дата начала]]+Линия8[[#This Row],[Длительность]]</f>
        <v>46060.665357142876</v>
      </c>
      <c r="C11" s="28">
        <f t="shared" si="0"/>
        <v>0.13999999999999999</v>
      </c>
      <c r="D11" s="29">
        <v>200</v>
      </c>
      <c r="E11" s="29" t="s">
        <v>386</v>
      </c>
      <c r="F11" s="29">
        <v>672</v>
      </c>
      <c r="G11" s="29"/>
      <c r="H11" s="48"/>
    </row>
    <row r="12" spans="1:8" hidden="1" x14ac:dyDescent="0.25">
      <c r="A12" s="126">
        <f t="shared" si="1"/>
        <v>46060.665357142876</v>
      </c>
      <c r="B12" s="47">
        <f>Линия8[[#This Row],[Дата начала]]+Линия8[[#This Row],[Длительность]]</f>
        <v>46060.747023809541</v>
      </c>
      <c r="C12" s="28">
        <f t="shared" si="0"/>
        <v>8.1666666666666665E-2</v>
      </c>
      <c r="D12" s="29">
        <v>200</v>
      </c>
      <c r="E12" s="29" t="s">
        <v>387</v>
      </c>
      <c r="F12" s="29">
        <v>392</v>
      </c>
      <c r="G12" s="29"/>
      <c r="H12" s="48"/>
    </row>
    <row r="13" spans="1:8" hidden="1" x14ac:dyDescent="0.25">
      <c r="A13" s="126">
        <f t="shared" si="1"/>
        <v>46060.747023809541</v>
      </c>
      <c r="B13" s="47">
        <f>Линия8[[#This Row],[Дата начала]]+Линия8[[#This Row],[Длительность]]</f>
        <v>46060.767857142877</v>
      </c>
      <c r="C13" s="33">
        <f>IF(E13="Вытеснение",TIME(0,30,0),
IF(E13="Передача смены",TIME(0,20,0),
IF(E13="Запуск",TIME(0,30,0),
IF(E13="Смена ассортимента",TIME(0,15,0),
IF(E13="Стерилизация",TIME(0,40,0),
IF(E13="CIP 2",TIME(4,0,0),
IF(E13="CIP 3",TIME(5,0,0),
IF(E13="мойка",TIME(8,0,0),
IF(AND(ISNUMBER(F13),ISNUMBER(D13),D13&gt;0),F13/D13/24,"Ошибка")))))))))</f>
        <v>2.0833333333333332E-2</v>
      </c>
      <c r="D13" s="34"/>
      <c r="E13" s="34" t="s">
        <v>189</v>
      </c>
      <c r="F13" s="34"/>
      <c r="G13" s="34"/>
      <c r="H13" s="46"/>
    </row>
    <row r="14" spans="1:8" hidden="1" x14ac:dyDescent="0.25">
      <c r="A14" s="126">
        <f t="shared" si="1"/>
        <v>46060.767857142877</v>
      </c>
      <c r="B14" s="47">
        <f>Линия8[[#This Row],[Дата начала]]+Линия8[[#This Row],[Длительность]]</f>
        <v>46060.849523809542</v>
      </c>
      <c r="C14" s="28">
        <f>IF(E14="Вытеснение",TIME(0,30,0),
IF(E14="Передача смены",TIME(0,20,0),
IF(E14="Запуск",TIME(0,30,0),
IF(E14="Смена ассортимента",TIME(0,15,0),
IF(E14="Стерилизация",TIME(0,40,0),
IF(E14="CIP 2",TIME(4,0,0),
IF(E14="CIP 3",TIME(5,0,0),
IF(E14="мойка",TIME(8,0,0),
IF(AND(ISNUMBER(F14),ISNUMBER(D14),D14&gt;0),F14/D14/24,"Ошибка")))))))))</f>
        <v>8.1666666666666665E-2</v>
      </c>
      <c r="D14" s="29">
        <v>200</v>
      </c>
      <c r="E14" s="29" t="s">
        <v>388</v>
      </c>
      <c r="F14" s="29">
        <v>392</v>
      </c>
      <c r="G14" s="29"/>
      <c r="H14" s="48"/>
    </row>
    <row r="15" spans="1:8" hidden="1" x14ac:dyDescent="0.25">
      <c r="A15" s="126">
        <f t="shared" si="1"/>
        <v>46060.849523809542</v>
      </c>
      <c r="B15" s="47">
        <f>Линия8[[#This Row],[Дата начала]]+Линия8[[#This Row],[Длительность]]</f>
        <v>46060.989523809541</v>
      </c>
      <c r="C15" s="28">
        <f>IF(E15="Вытеснение",TIME(0,30,0),
IF(E15="Передача смены",TIME(0,20,0),
IF(E15="Запуск",TIME(0,30,0),
IF(E15="Смена ассортимента",TIME(0,15,0),
IF(E15="Стерилизация",TIME(0,40,0),
IF(E15="CIP 2",TIME(4,0,0),
IF(E15="CIP 3",TIME(5,0,0),
IF(E15="мойка",TIME(8,0,0),
IF(AND(ISNUMBER(F15),ISNUMBER(D15),D15&gt;0),F15/D15/24,"Ошибка")))))))))</f>
        <v>0.13999999999999999</v>
      </c>
      <c r="D15" s="29">
        <v>200</v>
      </c>
      <c r="E15" s="29" t="s">
        <v>389</v>
      </c>
      <c r="F15" s="29">
        <v>672</v>
      </c>
      <c r="G15" s="29"/>
      <c r="H15" s="48"/>
    </row>
    <row r="16" spans="1:8" hidden="1" x14ac:dyDescent="0.25">
      <c r="A16" s="126">
        <f t="shared" si="1"/>
        <v>46060.989523809541</v>
      </c>
      <c r="B16" s="47">
        <f>Линия8[[#This Row],[Дата начала]]+Линия8[[#This Row],[Длительность]]</f>
        <v>46061.031190476206</v>
      </c>
      <c r="C16" s="28">
        <f>IF(E16="Вытеснение",TIME(0,30,0),
IF(E16="Передача смены",TIME(0,20,0),
IF(E16="Запуск",TIME(0,30,0),
IF(E16="Смена ассортимента",TIME(0,15,0),
IF(E16="Стерилизация",TIME(0,40,0),
IF(E16="CIP 2",TIME(4,0,0),
IF(E16="CIP 3",TIME(5,0,0),
IF(E16="мойка",TIME(8,0,0),
IF(AND(ISNUMBER(F16),ISNUMBER(D16),D16&gt;0),F16/D16/24,"Ошибка")))))))))</f>
        <v>4.1666666666666664E-2</v>
      </c>
      <c r="D16" s="29">
        <v>200</v>
      </c>
      <c r="E16" s="29" t="s">
        <v>390</v>
      </c>
      <c r="F16" s="29">
        <v>200</v>
      </c>
      <c r="G16" s="29"/>
      <c r="H16" s="48"/>
    </row>
    <row r="17" spans="1:8" hidden="1" x14ac:dyDescent="0.25">
      <c r="A17" s="126">
        <f t="shared" si="1"/>
        <v>46061.031190476206</v>
      </c>
      <c r="B17" s="47">
        <f>Линия8[[#This Row],[Дата начала]]+Линия8[[#This Row],[Длительность]]</f>
        <v>46061.07285714287</v>
      </c>
      <c r="C17" s="28">
        <v>4.1666666666666664E-2</v>
      </c>
      <c r="D17" s="29"/>
      <c r="E17" s="29" t="s">
        <v>197</v>
      </c>
      <c r="F17" s="29"/>
      <c r="G17" s="29"/>
      <c r="H17" s="48"/>
    </row>
    <row r="18" spans="1:8" hidden="1" x14ac:dyDescent="0.25">
      <c r="A18" s="126">
        <f t="shared" si="1"/>
        <v>46061.07285714287</v>
      </c>
      <c r="B18" s="47">
        <f>Линия8[[#This Row],[Дата начала]]+Линия8[[#This Row],[Длительность]]</f>
        <v>46061.114523809534</v>
      </c>
      <c r="C18" s="28">
        <f>IF(E18="Вытеснение",TIME(0,30,0),
IF(E18="Передача смены",TIME(0,20,0),
IF(E18="Запуск",TIME(0,30,0),
IF(E18="Смена ассортимента",TIME(0,15,0),
IF(E18="Стерилизация",TIME(0,40,0),
IF(E18="CIP 2",TIME(4,0,0),
IF(E18="CIP 3",TIME(5,0,0),
IF(E18="мойка",TIME(8,0,0),
IF(AND(ISNUMBER(F18),ISNUMBER(D18),D18&gt;0),F18/D18/24,"Ошибка")))))))))</f>
        <v>4.1666666666666664E-2</v>
      </c>
      <c r="D18" s="29">
        <v>200</v>
      </c>
      <c r="E18" s="29" t="s">
        <v>391</v>
      </c>
      <c r="F18" s="29">
        <v>200</v>
      </c>
      <c r="G18" s="29"/>
      <c r="H18" s="48"/>
    </row>
    <row r="19" spans="1:8" hidden="1" x14ac:dyDescent="0.25">
      <c r="A19" s="126">
        <f t="shared" si="1"/>
        <v>46061.114523809534</v>
      </c>
      <c r="B19" s="47">
        <f>Линия8[[#This Row],[Дата начала]]+Линия8[[#This Row],[Длительность]]</f>
        <v>46061.254523809534</v>
      </c>
      <c r="C19" s="28">
        <f>IF(E19="Вытеснение",TIME(0,30,0),
IF(E19="Передача смены",TIME(0,20,0),
IF(E19="Запуск",TIME(0,30,0),
IF(E19="Смена ассортимента",TIME(0,15,0),
IF(E19="Стерилизация",TIME(0,40,0),
IF(E19="CIP 2",TIME(4,0,0),
IF(E19="CIP 3",TIME(5,0,0),
IF(E19="мойка",TIME(8,0,0),
IF(AND(ISNUMBER(F19),ISNUMBER(D19),D19&gt;0),F19/D19/24,"Ошибка")))))))))</f>
        <v>0.13999999999999999</v>
      </c>
      <c r="D19" s="29">
        <v>200</v>
      </c>
      <c r="E19" s="29" t="s">
        <v>392</v>
      </c>
      <c r="F19" s="29">
        <v>672</v>
      </c>
      <c r="G19" s="29"/>
      <c r="H19" s="48"/>
    </row>
    <row r="20" spans="1:8" hidden="1" x14ac:dyDescent="0.25">
      <c r="A20" s="126">
        <f t="shared" si="1"/>
        <v>46061.254523809534</v>
      </c>
      <c r="B20" s="47">
        <f>Линия8[[#This Row],[Дата начала]]+Линия8[[#This Row],[Длительность]]</f>
        <v>46061.336190476199</v>
      </c>
      <c r="C20" s="28">
        <f>IF(E20="Вытеснение",TIME(0,30,0),
IF(E20="Передача смены",TIME(0,20,0),
IF(E20="Запуск",TIME(0,30,0),
IF(E20="Смена ассортимента",TIME(0,15,0),
IF(E20="Стерилизация",TIME(0,40,0),
IF(E20="CIP 2",TIME(4,0,0),
IF(E20="CIP 3",TIME(5,0,0),
IF(E20="мойка",TIME(8,0,0),
IF(AND(ISNUMBER(F20),ISNUMBER(D20),D20&gt;0),F20/D20/24,"Ошибка")))))))))</f>
        <v>8.1666666666666665E-2</v>
      </c>
      <c r="D20" s="29">
        <v>200</v>
      </c>
      <c r="E20" s="29" t="s">
        <v>393</v>
      </c>
      <c r="F20" s="29">
        <v>392</v>
      </c>
      <c r="G20" s="29"/>
      <c r="H20" s="48"/>
    </row>
    <row r="21" spans="1:8" hidden="1" x14ac:dyDescent="0.25">
      <c r="A21" s="126">
        <f t="shared" si="1"/>
        <v>46061.336190476199</v>
      </c>
      <c r="B21" s="47">
        <f>Линия8[[#This Row],[Дата начала]]+Линия8[[#This Row],[Длительность]]</f>
        <v>46061.357023809534</v>
      </c>
      <c r="C21" s="28">
        <f t="shared" ref="C21" si="2">IF(E21="Вытеснение",TIME(0,30,0),
IF(E21="Передача смены",TIME(0,20,0),
IF(E21="Запуск",TIME(0,30,0),
IF(E21="Смена ассортимента",TIME(0,15,0),
IF(E21="Стерилизация",TIME(0,40,0),
IF(E21="CIP 2",TIME(4,0,0),
IF(E21="CIP 3",TIME(5,0,0),
IF(E21="мойка",TIME(8,0,0),
IF(AND(ISNUMBER(F21),ISNUMBER(D21),D21&gt;0),F21/D21/24,"Ошибка")))))))))</f>
        <v>2.0833333333333332E-2</v>
      </c>
      <c r="D21" s="29"/>
      <c r="E21" s="29" t="s">
        <v>189</v>
      </c>
      <c r="F21" s="29"/>
      <c r="G21" s="29"/>
      <c r="H21" s="48"/>
    </row>
    <row r="22" spans="1:8" hidden="1" x14ac:dyDescent="0.25">
      <c r="A22" s="126">
        <f t="shared" si="1"/>
        <v>46061.357023809534</v>
      </c>
      <c r="B22" s="47">
        <f>Линия8[[#This Row],[Дата начала]]+Линия8[[#This Row],[Длительность]]</f>
        <v>46061.4386904762</v>
      </c>
      <c r="C22" s="28">
        <f>IF(E22="Вытеснение",TIME(0,30,0),
IF(E22="Передача смены",TIME(0,20,0),
IF(E22="Запуск",TIME(0,30,0),
IF(E22="Смена ассортимента",TIME(0,15,0),
IF(E22="Стерилизация",TIME(0,40,0),
IF(E22="CIP 2",TIME(4,0,0),
IF(E22="CIP 3",TIME(5,0,0),
IF(E22="мойка",TIME(8,0,0),
IF(AND(ISNUMBER(F22),ISNUMBER(D22),D22&gt;0),F22/D22/24,"Ошибка")))))))))</f>
        <v>8.1666666666666665E-2</v>
      </c>
      <c r="D22" s="29">
        <v>200</v>
      </c>
      <c r="E22" s="29" t="s">
        <v>394</v>
      </c>
      <c r="F22" s="29">
        <v>392</v>
      </c>
      <c r="G22" s="29"/>
      <c r="H22" s="48"/>
    </row>
    <row r="23" spans="1:8" hidden="1" x14ac:dyDescent="0.25">
      <c r="A23" s="126">
        <f t="shared" si="1"/>
        <v>46061.4386904762</v>
      </c>
      <c r="B23" s="47">
        <f>Линия8[[#This Row],[Дата начала]]+Линия8[[#This Row],[Длительность]]</f>
        <v>46061.578690476199</v>
      </c>
      <c r="C23" s="28">
        <f>IF(E23="Вытеснение",TIME(0,30,0),
IF(E23="Передача смены",TIME(0,20,0),
IF(E23="Запуск",TIME(0,30,0),
IF(E23="Смена ассортимента",TIME(0,15,0),
IF(E23="Стерилизация",TIME(0,40,0),
IF(E23="CIP 2",TIME(4,0,0),
IF(E23="CIP 3",TIME(5,0,0),
IF(E23="мойка",TIME(8,0,0),
IF(AND(ISNUMBER(F23),ISNUMBER(D23),D23&gt;0),F23/D23/24,"Ошибка")))))))))</f>
        <v>0.13999999999999999</v>
      </c>
      <c r="D23" s="29">
        <v>200</v>
      </c>
      <c r="E23" s="29" t="s">
        <v>395</v>
      </c>
      <c r="F23" s="29">
        <v>672</v>
      </c>
      <c r="G23" s="29"/>
      <c r="H23" s="48"/>
    </row>
    <row r="24" spans="1:8" hidden="1" x14ac:dyDescent="0.25">
      <c r="A24" s="126">
        <f t="shared" si="1"/>
        <v>46061.578690476199</v>
      </c>
      <c r="B24" s="47">
        <f>Линия8[[#This Row],[Дата начала]]+Линия8[[#This Row],[Длительность]]</f>
        <v>46061.620357142863</v>
      </c>
      <c r="C24" s="28">
        <f>IF(E24="Вытеснение",TIME(0,30,0),
IF(E24="Передача смены",TIME(0,20,0),
IF(E24="Запуск",TIME(0,30,0),
IF(E24="Смена ассортимента",TIME(0,15,0),
IF(E24="Стерилизация",TIME(0,40,0),
IF(E24="CIP 2",TIME(4,0,0),
IF(E24="CIP 3",TIME(5,0,0),
IF(E24="мойка",TIME(8,0,0),
IF(AND(ISNUMBER(F24),ISNUMBER(D24),D24&gt;0),F24/D24/24,"Ошибка")))))))))</f>
        <v>4.1666666666666664E-2</v>
      </c>
      <c r="D24" s="29">
        <v>200</v>
      </c>
      <c r="E24" s="29" t="s">
        <v>396</v>
      </c>
      <c r="F24" s="29">
        <v>200</v>
      </c>
      <c r="G24" s="29"/>
      <c r="H24" s="48"/>
    </row>
    <row r="25" spans="1:8" hidden="1" x14ac:dyDescent="0.25">
      <c r="A25" s="126">
        <f t="shared" si="1"/>
        <v>46061.620357142863</v>
      </c>
      <c r="B25" s="47">
        <f>Линия8[[#This Row],[Дата начала]]+Линия8[[#This Row],[Длительность]]</f>
        <v>46061.953690476199</v>
      </c>
      <c r="C25" s="33">
        <f>IF(E25="Вытеснение",TIME(0,30,0),
IF(E25="Передача смены",TIME(0,20,0),
IF(E25="Запуск",TIME(0,30,0),
IF(E25="Смена ассортимента",TIME(0,15,0),
IF(E25="Стерилизация",TIME(0,40,0),
IF(E25="CIP 2",TIME(4,0,0),
IF(E25="CIP 3",TIME(5,0,0),
IF(E25="мойка",TIME(8,0,0),
IF(AND(ISNUMBER(F25),ISNUMBER(D25),D25&gt;0),F25/D25/24,"Ошибка")))))))))</f>
        <v>0.33333333333333331</v>
      </c>
      <c r="D25" s="34"/>
      <c r="E25" s="34" t="s">
        <v>384</v>
      </c>
      <c r="F25" s="34"/>
      <c r="G25" s="34"/>
      <c r="H25" s="46"/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9301-6DDB-444A-B311-F84531A2AA71}">
  <sheetPr codeName="Лист10"/>
  <dimension ref="A1:M236"/>
  <sheetViews>
    <sheetView zoomScaleNormal="100" workbookViewId="0">
      <selection activeCell="C233" sqref="C233"/>
    </sheetView>
  </sheetViews>
  <sheetFormatPr defaultRowHeight="13.8" x14ac:dyDescent="0.25"/>
  <cols>
    <col min="1" max="1" width="16.19921875" customWidth="1"/>
    <col min="2" max="2" width="18.09765625" customWidth="1"/>
    <col min="3" max="3" width="13.8984375" style="62" bestFit="1" customWidth="1"/>
    <col min="4" max="4" width="9.3984375" style="84" bestFit="1" customWidth="1"/>
    <col min="5" max="5" width="61.69921875" customWidth="1"/>
    <col min="6" max="6" width="11.5" bestFit="1" customWidth="1"/>
    <col min="7" max="8" width="16.59765625" bestFit="1" customWidth="1"/>
    <col min="9" max="9" width="2.09765625" customWidth="1"/>
    <col min="10" max="10" width="25.69921875" customWidth="1"/>
    <col min="11" max="11" width="19.5" bestFit="1" customWidth="1"/>
  </cols>
  <sheetData>
    <row r="1" spans="1:8" ht="20.399999999999999" x14ac:dyDescent="0.35">
      <c r="A1" s="165" t="s">
        <v>397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27" t="s">
        <v>145</v>
      </c>
      <c r="B2" s="128" t="s">
        <v>398</v>
      </c>
      <c r="C2" s="125" t="s">
        <v>147</v>
      </c>
      <c r="D2" s="104" t="s">
        <v>148</v>
      </c>
      <c r="E2" s="104" t="s">
        <v>149</v>
      </c>
      <c r="F2" s="104" t="s">
        <v>399</v>
      </c>
      <c r="G2" s="104" t="s">
        <v>151</v>
      </c>
      <c r="H2" s="105" t="s">
        <v>152</v>
      </c>
    </row>
    <row r="3" spans="1:8" hidden="1" x14ac:dyDescent="0.25">
      <c r="A3" s="78">
        <v>45669.833333333336</v>
      </c>
      <c r="B3" s="45">
        <v>45669.895833333336</v>
      </c>
      <c r="C3" s="28">
        <v>6.25E-2</v>
      </c>
      <c r="D3" s="29"/>
      <c r="E3" s="64" t="s">
        <v>153</v>
      </c>
      <c r="F3" s="129"/>
      <c r="G3" s="29">
        <v>384</v>
      </c>
      <c r="H3" s="48">
        <f>IFERROR(Линия10[[#This Row],[Кол-во]]/Линия10[[#This Row],[Шт. в поддоне]], "")</f>
        <v>0</v>
      </c>
    </row>
    <row r="4" spans="1:8" hidden="1" x14ac:dyDescent="0.25">
      <c r="A4" s="126">
        <v>45669.895833333336</v>
      </c>
      <c r="B4" s="45">
        <v>45670.3125</v>
      </c>
      <c r="C4" s="28">
        <v>0.41666666666666669</v>
      </c>
      <c r="D4" s="34">
        <v>450</v>
      </c>
      <c r="E4" s="64" t="s">
        <v>400</v>
      </c>
      <c r="F4" s="64">
        <v>4500</v>
      </c>
      <c r="G4" s="34"/>
      <c r="H4" s="46" t="str">
        <f>IFERROR(Линия10[[#This Row],[Кол-во]]/Линия10[[#This Row],[Шт. в поддоне]], "")</f>
        <v/>
      </c>
    </row>
    <row r="5" spans="1:8" hidden="1" x14ac:dyDescent="0.25">
      <c r="A5" s="47">
        <v>45670.833333333336</v>
      </c>
      <c r="B5" s="47">
        <v>45670.875</v>
      </c>
      <c r="C5" s="28">
        <v>4.1666666666666664E-2</v>
      </c>
      <c r="D5" s="29"/>
      <c r="E5" s="112" t="s">
        <v>197</v>
      </c>
      <c r="F5" s="29"/>
      <c r="G5" s="29"/>
      <c r="H5" s="31" t="str">
        <f>IFERROR(Линия10[[#This Row],[Кол-во]]/Линия10[[#This Row],[Шт. в поддоне]], "")</f>
        <v/>
      </c>
    </row>
    <row r="6" spans="1:8" hidden="1" x14ac:dyDescent="0.25">
      <c r="A6" s="47">
        <v>45670.875</v>
      </c>
      <c r="B6" s="47">
        <v>45671.152777777781</v>
      </c>
      <c r="C6" s="28">
        <v>0.27777777777777779</v>
      </c>
      <c r="D6" s="29">
        <v>450</v>
      </c>
      <c r="E6" s="112" t="s">
        <v>401</v>
      </c>
      <c r="F6" s="30">
        <v>3000</v>
      </c>
      <c r="G6" s="29">
        <v>384</v>
      </c>
      <c r="H6" s="31">
        <f>IFERROR(Линия10[[#This Row],[Кол-во]]/Линия10[[#This Row],[Шт. в поддоне]], "")</f>
        <v>7.8125</v>
      </c>
    </row>
    <row r="7" spans="1:8" hidden="1" x14ac:dyDescent="0.25">
      <c r="A7" s="47">
        <v>45671.152777777781</v>
      </c>
      <c r="B7" s="47">
        <v>45671.194444444445</v>
      </c>
      <c r="C7" s="28">
        <v>4.1666666666666664E-2</v>
      </c>
      <c r="D7" s="29"/>
      <c r="E7" s="112" t="s">
        <v>197</v>
      </c>
      <c r="F7" s="112"/>
      <c r="G7" s="29"/>
      <c r="H7" s="31" t="str">
        <f>IFERROR(Линия10[[#This Row],[Кол-во]]/Линия10[[#This Row],[Шт. в поддоне]], "")</f>
        <v/>
      </c>
    </row>
    <row r="8" spans="1:8" hidden="1" x14ac:dyDescent="0.25">
      <c r="A8" s="47">
        <v>45671.194444444445</v>
      </c>
      <c r="B8" s="47">
        <v>45671.333333333336</v>
      </c>
      <c r="C8" s="28">
        <v>0.1388888888888889</v>
      </c>
      <c r="D8" s="29">
        <v>450</v>
      </c>
      <c r="E8" s="112" t="s">
        <v>402</v>
      </c>
      <c r="F8" s="30">
        <v>1500</v>
      </c>
      <c r="G8" s="29">
        <v>384</v>
      </c>
      <c r="H8" s="31">
        <f>IFERROR(Линия10[[#This Row],[Кол-во]]/Линия10[[#This Row],[Шт. в поддоне]], "")</f>
        <v>3.90625</v>
      </c>
    </row>
    <row r="9" spans="1:8" hidden="1" x14ac:dyDescent="0.25">
      <c r="A9" s="47">
        <v>45671.833333333336</v>
      </c>
      <c r="B9" s="47">
        <v>45671.875</v>
      </c>
      <c r="C9" s="28">
        <v>4.1666666666666664E-2</v>
      </c>
      <c r="D9" s="29"/>
      <c r="E9" s="112" t="s">
        <v>197</v>
      </c>
      <c r="F9" s="112"/>
      <c r="G9" s="29"/>
      <c r="H9" s="31" t="str">
        <f>IFERROR(Линия10[[#This Row],[Кол-во]]/Линия10[[#This Row],[Шт. в поддоне]], "")</f>
        <v/>
      </c>
    </row>
    <row r="10" spans="1:8" hidden="1" x14ac:dyDescent="0.25">
      <c r="A10" s="47">
        <v>45671.875</v>
      </c>
      <c r="B10" s="47">
        <v>45672.152777777781</v>
      </c>
      <c r="C10" s="28">
        <v>0.27777777777777779</v>
      </c>
      <c r="D10" s="29">
        <v>450</v>
      </c>
      <c r="E10" s="112" t="s">
        <v>403</v>
      </c>
      <c r="F10" s="30">
        <v>3000</v>
      </c>
      <c r="G10" s="29">
        <v>384</v>
      </c>
      <c r="H10" s="31">
        <f>IFERROR(Линия10[[#This Row],[Кол-во]]/Линия10[[#This Row],[Шт. в поддоне]], "")</f>
        <v>7.8125</v>
      </c>
    </row>
    <row r="11" spans="1:8" hidden="1" x14ac:dyDescent="0.25">
      <c r="A11" s="47">
        <v>45672.152777777781</v>
      </c>
      <c r="B11" s="47">
        <v>45672.215277777781</v>
      </c>
      <c r="C11" s="28">
        <v>6.25E-2</v>
      </c>
      <c r="D11" s="29"/>
      <c r="E11" s="112" t="s">
        <v>153</v>
      </c>
      <c r="F11" s="112"/>
      <c r="G11" s="29"/>
      <c r="H11" s="31" t="str">
        <f>IFERROR(Линия10[[#This Row],[Кол-во]]/Линия10[[#This Row],[Шт. в поддоне]], "")</f>
        <v/>
      </c>
    </row>
    <row r="12" spans="1:8" hidden="1" x14ac:dyDescent="0.25">
      <c r="A12" s="47">
        <v>45672.215277777781</v>
      </c>
      <c r="B12" s="47">
        <v>45672.333333333336</v>
      </c>
      <c r="C12" s="28">
        <v>0.11805555555555557</v>
      </c>
      <c r="D12" s="29">
        <v>450</v>
      </c>
      <c r="E12" s="112" t="s">
        <v>404</v>
      </c>
      <c r="F12" s="30">
        <v>1275</v>
      </c>
      <c r="G12" s="29">
        <v>384</v>
      </c>
      <c r="H12" s="31">
        <f>IFERROR(Линия10[[#This Row],[Кол-во]]/Линия10[[#This Row],[Шт. в поддоне]], "")</f>
        <v>3.3203125</v>
      </c>
    </row>
    <row r="13" spans="1:8" hidden="1" x14ac:dyDescent="0.25">
      <c r="A13" s="47">
        <v>45672.833333333336</v>
      </c>
      <c r="B13" s="47">
        <v>45673.131944444445</v>
      </c>
      <c r="C13" s="28">
        <v>0.2986111111111111</v>
      </c>
      <c r="D13" s="29">
        <v>450</v>
      </c>
      <c r="E13" s="112" t="s">
        <v>405</v>
      </c>
      <c r="F13" s="112">
        <v>3225</v>
      </c>
      <c r="G13" s="29"/>
      <c r="H13" s="31" t="str">
        <f>IFERROR(Линия10[[#This Row],[Кол-во]]/Линия10[[#This Row],[Шт. в поддоне]], "")</f>
        <v/>
      </c>
    </row>
    <row r="14" spans="1:8" hidden="1" x14ac:dyDescent="0.25">
      <c r="A14" s="47">
        <v>45673.131944444445</v>
      </c>
      <c r="B14" s="47">
        <v>45673.173611111109</v>
      </c>
      <c r="C14" s="28">
        <v>4.1666666666666664E-2</v>
      </c>
      <c r="D14" s="29"/>
      <c r="E14" s="112" t="s">
        <v>197</v>
      </c>
      <c r="F14" s="29"/>
      <c r="G14" s="29">
        <v>384</v>
      </c>
      <c r="H14" s="48">
        <f>IFERROR(Линия10[[#This Row],[Кол-во]]/Линия10[[#This Row],[Шт. в поддоне]], "")</f>
        <v>0</v>
      </c>
    </row>
    <row r="15" spans="1:8" hidden="1" x14ac:dyDescent="0.25">
      <c r="A15" s="47">
        <v>45673.173611111109</v>
      </c>
      <c r="B15" s="47">
        <v>45673.333333333336</v>
      </c>
      <c r="C15" s="28">
        <v>0.15972222222222224</v>
      </c>
      <c r="D15" s="29">
        <v>450</v>
      </c>
      <c r="E15" s="112" t="s">
        <v>406</v>
      </c>
      <c r="F15" s="112">
        <v>1725</v>
      </c>
      <c r="G15" s="29"/>
      <c r="H15" s="31" t="str">
        <f>IFERROR(Линия10[[#This Row],[Кол-во]]/Линия10[[#This Row],[Шт. в поддоне]], "")</f>
        <v/>
      </c>
    </row>
    <row r="16" spans="1:8" hidden="1" x14ac:dyDescent="0.25">
      <c r="A16" s="47">
        <v>45673.833333333336</v>
      </c>
      <c r="B16" s="47">
        <v>45674.090277777781</v>
      </c>
      <c r="C16" s="28">
        <v>0.25694444444444448</v>
      </c>
      <c r="D16" s="29">
        <v>450</v>
      </c>
      <c r="E16" s="112" t="s">
        <v>407</v>
      </c>
      <c r="F16" s="30">
        <v>2775</v>
      </c>
      <c r="G16" s="29">
        <v>384</v>
      </c>
      <c r="H16" s="31">
        <f>IFERROR(Линия10[[#This Row],[Кол-во]]/Линия10[[#This Row],[Шт. в поддоне]], "")</f>
        <v>7.2265625</v>
      </c>
    </row>
    <row r="17" spans="1:8" hidden="1" x14ac:dyDescent="0.25">
      <c r="A17" s="47">
        <v>45674.090277777781</v>
      </c>
      <c r="B17" s="47">
        <v>45674.131944444445</v>
      </c>
      <c r="C17" s="28">
        <v>4.1666666666666664E-2</v>
      </c>
      <c r="D17" s="29"/>
      <c r="E17" s="112" t="s">
        <v>197</v>
      </c>
      <c r="F17" s="112"/>
      <c r="G17" s="29"/>
      <c r="H17" s="31" t="str">
        <f>IFERROR(Линия10[[#This Row],[Кол-во]]/Линия10[[#This Row],[Шт. в поддоне]], "")</f>
        <v/>
      </c>
    </row>
    <row r="18" spans="1:8" hidden="1" x14ac:dyDescent="0.25">
      <c r="A18" s="47">
        <v>45674.131944444445</v>
      </c>
      <c r="B18" s="47">
        <v>45674.333333333336</v>
      </c>
      <c r="C18" s="28">
        <v>0.20138888888888887</v>
      </c>
      <c r="D18" s="29">
        <v>450</v>
      </c>
      <c r="E18" s="112" t="s">
        <v>408</v>
      </c>
      <c r="F18" s="30">
        <v>2175</v>
      </c>
      <c r="G18" s="29">
        <v>384</v>
      </c>
      <c r="H18" s="31">
        <f>IFERROR(Линия10[[#This Row],[Кол-во]]/Линия10[[#This Row],[Шт. в поддоне]], "")</f>
        <v>5.6640625</v>
      </c>
    </row>
    <row r="19" spans="1:8" hidden="1" x14ac:dyDescent="0.25">
      <c r="A19" s="47">
        <v>45674.833333333336</v>
      </c>
      <c r="B19" s="47">
        <v>45675.048611111109</v>
      </c>
      <c r="C19" s="28">
        <v>0.21527777777777779</v>
      </c>
      <c r="D19" s="29">
        <v>450</v>
      </c>
      <c r="E19" s="112" t="s">
        <v>409</v>
      </c>
      <c r="F19" s="112">
        <v>2325</v>
      </c>
      <c r="G19" s="29"/>
      <c r="H19" s="31" t="str">
        <f>IFERROR(Линия10[[#This Row],[Кол-во]]/Линия10[[#This Row],[Шт. в поддоне]], "")</f>
        <v/>
      </c>
    </row>
    <row r="20" spans="1:8" hidden="1" x14ac:dyDescent="0.25">
      <c r="A20" s="47">
        <v>45675.048611111109</v>
      </c>
      <c r="B20" s="47">
        <v>45675.111111111109</v>
      </c>
      <c r="C20" s="28">
        <v>6.25E-2</v>
      </c>
      <c r="D20" s="29"/>
      <c r="E20" s="29" t="s">
        <v>153</v>
      </c>
      <c r="F20" s="29"/>
      <c r="G20" s="29">
        <v>384</v>
      </c>
      <c r="H20" s="48">
        <f>IFERROR(Линия10[[#This Row],[Кол-во]]/Линия10[[#This Row],[Шт. в поддоне]], "")</f>
        <v>0</v>
      </c>
    </row>
    <row r="21" spans="1:8" hidden="1" x14ac:dyDescent="0.25">
      <c r="A21" s="47">
        <v>45675.111111111109</v>
      </c>
      <c r="B21" s="47">
        <v>45675.333333333336</v>
      </c>
      <c r="C21" s="28">
        <v>0.22222222222222221</v>
      </c>
      <c r="D21" s="29">
        <v>450</v>
      </c>
      <c r="E21" s="29" t="s">
        <v>410</v>
      </c>
      <c r="F21" s="29">
        <v>2400</v>
      </c>
      <c r="G21" s="29"/>
      <c r="H21" s="48" t="str">
        <f>IFERROR(Линия10[[#This Row],[Кол-во]]/Линия10[[#This Row],[Шт. в поддоне]], "")</f>
        <v/>
      </c>
    </row>
    <row r="22" spans="1:8" hidden="1" x14ac:dyDescent="0.25">
      <c r="A22" s="47">
        <v>45675.833333333336</v>
      </c>
      <c r="B22" s="47">
        <v>45676.027777777781</v>
      </c>
      <c r="C22" s="28">
        <v>0.19444444444444445</v>
      </c>
      <c r="D22" s="29">
        <v>450</v>
      </c>
      <c r="E22" s="29" t="s">
        <v>411</v>
      </c>
      <c r="F22" s="29">
        <v>2100</v>
      </c>
      <c r="G22" s="29">
        <v>384</v>
      </c>
      <c r="H22" s="48">
        <f>IFERROR(Линия10[[#This Row],[Кол-во]]/Линия10[[#This Row],[Шт. в поддоне]], "")</f>
        <v>5.46875</v>
      </c>
    </row>
    <row r="23" spans="1:8" hidden="1" x14ac:dyDescent="0.25">
      <c r="A23" s="47">
        <v>45676.027777777781</v>
      </c>
      <c r="B23" s="47">
        <v>45676.069444444445</v>
      </c>
      <c r="C23" s="28">
        <v>4.1666666666666664E-2</v>
      </c>
      <c r="D23" s="29"/>
      <c r="E23" s="29" t="s">
        <v>197</v>
      </c>
      <c r="F23" s="29"/>
      <c r="G23" s="29"/>
      <c r="H23" s="48" t="str">
        <f>IFERROR(Линия10[[#This Row],[Кол-во]]/Линия10[[#This Row],[Шт. в поддоне]], "")</f>
        <v/>
      </c>
    </row>
    <row r="24" spans="1:8" hidden="1" x14ac:dyDescent="0.25">
      <c r="A24" s="47">
        <v>45676.069444444445</v>
      </c>
      <c r="B24" s="47">
        <v>45676.333333333336</v>
      </c>
      <c r="C24" s="28">
        <v>0.2638888888888889</v>
      </c>
      <c r="D24" s="29">
        <v>450</v>
      </c>
      <c r="E24" s="29" t="s">
        <v>412</v>
      </c>
      <c r="F24" s="29">
        <v>2850</v>
      </c>
      <c r="G24" s="29">
        <v>384</v>
      </c>
      <c r="H24" s="48">
        <f>IFERROR(Линия10[[#This Row],[Кол-во]]/Линия10[[#This Row],[Шт. в поддоне]], "")</f>
        <v>7.421875</v>
      </c>
    </row>
    <row r="25" spans="1:8" hidden="1" x14ac:dyDescent="0.25">
      <c r="A25" s="47">
        <v>45676.833333333336</v>
      </c>
      <c r="B25" s="47">
        <v>45676.986111111109</v>
      </c>
      <c r="C25" s="28">
        <v>0.15277777777777776</v>
      </c>
      <c r="D25" s="29">
        <v>450</v>
      </c>
      <c r="E25" s="29" t="s">
        <v>413</v>
      </c>
      <c r="F25" s="29">
        <v>1650</v>
      </c>
      <c r="G25" s="29"/>
      <c r="H25" s="48" t="str">
        <f>IFERROR(Линия10[[#This Row],[Кол-во]]/Линия10[[#This Row],[Шт. в поддоне]], "")</f>
        <v/>
      </c>
    </row>
    <row r="26" spans="1:8" hidden="1" x14ac:dyDescent="0.25">
      <c r="A26" s="47">
        <v>45676.986111111109</v>
      </c>
      <c r="B26" s="47">
        <v>45677.027777777781</v>
      </c>
      <c r="C26" s="28">
        <v>4.1666666666666664E-2</v>
      </c>
      <c r="D26" s="29"/>
      <c r="E26" s="29" t="s">
        <v>197</v>
      </c>
      <c r="F26" s="29"/>
      <c r="G26" s="29">
        <v>384</v>
      </c>
      <c r="H26" s="48">
        <f>IFERROR(Линия10[[#This Row],[Кол-во]]/Линия10[[#This Row],[Шт. в поддоне]], "")</f>
        <v>0</v>
      </c>
    </row>
    <row r="27" spans="1:8" hidden="1" x14ac:dyDescent="0.25">
      <c r="A27" s="47">
        <v>45677.027777777781</v>
      </c>
      <c r="B27" s="47">
        <v>45677.444444444445</v>
      </c>
      <c r="C27" s="28">
        <v>0.41666666666666669</v>
      </c>
      <c r="D27" s="29">
        <v>450</v>
      </c>
      <c r="E27" s="29" t="s">
        <v>414</v>
      </c>
      <c r="F27" s="29">
        <v>4500</v>
      </c>
      <c r="G27" s="29"/>
      <c r="H27" s="48" t="str">
        <f>IFERROR(Линия10[[#This Row],[Кол-во]]/Линия10[[#This Row],[Шт. в поддоне]], "")</f>
        <v/>
      </c>
    </row>
    <row r="28" spans="1:8" hidden="1" x14ac:dyDescent="0.25">
      <c r="A28" s="47">
        <v>45677.833333333336</v>
      </c>
      <c r="B28" s="47">
        <v>45677.875</v>
      </c>
      <c r="C28" s="28">
        <v>4.1666666666666664E-2</v>
      </c>
      <c r="D28" s="29"/>
      <c r="E28" s="29" t="s">
        <v>197</v>
      </c>
      <c r="F28" s="29"/>
      <c r="G28" s="29">
        <v>384</v>
      </c>
      <c r="H28" s="48">
        <f>IFERROR(Линия10[[#This Row],[Кол-во]]/Линия10[[#This Row],[Шт. в поддоне]], "")</f>
        <v>0</v>
      </c>
    </row>
    <row r="29" spans="1:8" hidden="1" x14ac:dyDescent="0.25">
      <c r="A29" s="47">
        <v>45677.875</v>
      </c>
      <c r="B29" s="47">
        <v>45678.291666666664</v>
      </c>
      <c r="C29" s="28">
        <v>0.41666666666666669</v>
      </c>
      <c r="D29" s="29">
        <v>450</v>
      </c>
      <c r="E29" s="29" t="s">
        <v>415</v>
      </c>
      <c r="F29" s="29">
        <v>4500</v>
      </c>
      <c r="G29" s="29"/>
      <c r="H29" s="48" t="str">
        <f>IFERROR(Линия10[[#This Row],[Кол-во]]/Линия10[[#This Row],[Шт. в поддоне]], "")</f>
        <v/>
      </c>
    </row>
    <row r="30" spans="1:8" hidden="1" x14ac:dyDescent="0.25">
      <c r="A30" s="47">
        <v>45678.291666666664</v>
      </c>
      <c r="B30" s="47">
        <v>45678.354166666664</v>
      </c>
      <c r="C30" s="28">
        <v>6.25E-2</v>
      </c>
      <c r="D30" s="29"/>
      <c r="E30" s="29" t="s">
        <v>153</v>
      </c>
      <c r="F30" s="29"/>
      <c r="G30" s="29">
        <v>384</v>
      </c>
      <c r="H30" s="48">
        <f>IFERROR(Линия10[[#This Row],[Кол-во]]/Линия10[[#This Row],[Шт. в поддоне]], "")</f>
        <v>0</v>
      </c>
    </row>
    <row r="31" spans="1:8" hidden="1" x14ac:dyDescent="0.25">
      <c r="A31" s="47">
        <v>45678.833333333336</v>
      </c>
      <c r="B31" s="47">
        <v>45679.388888888891</v>
      </c>
      <c r="C31" s="28">
        <v>0.55555555555555558</v>
      </c>
      <c r="D31" s="29">
        <v>450</v>
      </c>
      <c r="E31" s="29" t="s">
        <v>416</v>
      </c>
      <c r="F31" s="29">
        <v>6000</v>
      </c>
      <c r="G31" s="29"/>
      <c r="H31" s="48" t="str">
        <f>IFERROR(Линия10[[#This Row],[Кол-во]]/Линия10[[#This Row],[Шт. в поддоне]], "")</f>
        <v/>
      </c>
    </row>
    <row r="32" spans="1:8" hidden="1" x14ac:dyDescent="0.25">
      <c r="A32" s="47">
        <v>45679.833333333336</v>
      </c>
      <c r="B32" s="47">
        <v>45679.875</v>
      </c>
      <c r="C32" s="28">
        <v>4.1666666666666664E-2</v>
      </c>
      <c r="D32" s="29"/>
      <c r="E32" s="29" t="s">
        <v>197</v>
      </c>
      <c r="F32" s="29"/>
      <c r="G32" s="29">
        <v>384</v>
      </c>
      <c r="H32" s="48">
        <f>IFERROR(Линия10[[#This Row],[Кол-во]]/Линия10[[#This Row],[Шт. в поддоне]], "")</f>
        <v>0</v>
      </c>
    </row>
    <row r="33" spans="1:8" hidden="1" x14ac:dyDescent="0.25">
      <c r="A33" s="47">
        <v>45679.875</v>
      </c>
      <c r="B33" s="47">
        <v>45680.333333333336</v>
      </c>
      <c r="C33" s="28">
        <v>0.45833333333333331</v>
      </c>
      <c r="D33" s="29">
        <v>450</v>
      </c>
      <c r="E33" s="29" t="s">
        <v>417</v>
      </c>
      <c r="F33" s="29">
        <v>4950</v>
      </c>
      <c r="G33" s="29"/>
      <c r="H33" s="48" t="str">
        <f>IFERROR(Линия10[[#This Row],[Кол-во]]/Линия10[[#This Row],[Шт. в поддоне]], "")</f>
        <v/>
      </c>
    </row>
    <row r="34" spans="1:8" hidden="1" x14ac:dyDescent="0.25">
      <c r="A34" s="47">
        <v>45680.833333333336</v>
      </c>
      <c r="B34" s="47">
        <v>45681.333333333336</v>
      </c>
      <c r="C34" s="28">
        <v>0.5</v>
      </c>
      <c r="D34" s="29">
        <v>450</v>
      </c>
      <c r="E34" s="29" t="s">
        <v>418</v>
      </c>
      <c r="F34" s="29">
        <v>5400</v>
      </c>
      <c r="G34" s="29">
        <v>384</v>
      </c>
      <c r="H34" s="48">
        <f>IFERROR(Линия10[[#This Row],[Кол-во]]/Линия10[[#This Row],[Шт. в поддоне]], "")</f>
        <v>14.0625</v>
      </c>
    </row>
    <row r="35" spans="1:8" hidden="1" x14ac:dyDescent="0.25">
      <c r="A35" s="47">
        <v>45681.833333333336</v>
      </c>
      <c r="B35" s="47">
        <v>45682.263888888891</v>
      </c>
      <c r="C35" s="28">
        <v>0.43055555555555558</v>
      </c>
      <c r="D35" s="29">
        <v>450</v>
      </c>
      <c r="E35" s="29" t="s">
        <v>419</v>
      </c>
      <c r="F35" s="29">
        <v>4650</v>
      </c>
      <c r="G35" s="29"/>
      <c r="H35" s="48" t="str">
        <f>IFERROR(Линия10[[#This Row],[Кол-во]]/Линия10[[#This Row],[Шт. в поддоне]], "")</f>
        <v/>
      </c>
    </row>
    <row r="36" spans="1:8" hidden="1" x14ac:dyDescent="0.25">
      <c r="A36" s="47">
        <v>45682.263888888891</v>
      </c>
      <c r="B36" s="47">
        <v>45682.305555555555</v>
      </c>
      <c r="C36" s="28">
        <v>4.1666666666666664E-2</v>
      </c>
      <c r="D36" s="29"/>
      <c r="E36" s="29" t="s">
        <v>197</v>
      </c>
      <c r="F36" s="29"/>
      <c r="G36" s="29">
        <v>384</v>
      </c>
      <c r="H36" s="48">
        <f>IFERROR(Линия10[[#This Row],[Кол-во]]/Линия10[[#This Row],[Шт. в поддоне]], "")</f>
        <v>0</v>
      </c>
    </row>
    <row r="37" spans="1:8" hidden="1" x14ac:dyDescent="0.25">
      <c r="A37" s="47">
        <v>45682.833333333336</v>
      </c>
      <c r="B37" s="47">
        <v>45683.25</v>
      </c>
      <c r="C37" s="28">
        <v>0.41666666666666669</v>
      </c>
      <c r="D37" s="29">
        <v>450</v>
      </c>
      <c r="E37" s="29" t="s">
        <v>420</v>
      </c>
      <c r="F37" s="29">
        <v>4500</v>
      </c>
      <c r="G37" s="29"/>
      <c r="H37" s="48" t="str">
        <f>IFERROR(Линия10[[#This Row],[Кол-во]]/Линия10[[#This Row],[Шт. в поддоне]], "")</f>
        <v/>
      </c>
    </row>
    <row r="38" spans="1:8" hidden="1" x14ac:dyDescent="0.25">
      <c r="A38" s="47">
        <v>45683.25</v>
      </c>
      <c r="B38" s="47">
        <v>45683.291666666664</v>
      </c>
      <c r="C38" s="28">
        <v>4.1666666666666664E-2</v>
      </c>
      <c r="D38" s="29"/>
      <c r="E38" s="29" t="s">
        <v>197</v>
      </c>
      <c r="F38" s="29"/>
      <c r="G38" s="29">
        <v>384</v>
      </c>
      <c r="H38" s="48">
        <f>IFERROR(Линия10[[#This Row],[Кол-во]]/Линия10[[#This Row],[Шт. в поддоне]], "")</f>
        <v>0</v>
      </c>
    </row>
    <row r="39" spans="1:8" hidden="1" x14ac:dyDescent="0.25">
      <c r="A39" s="47">
        <v>45683.833333333336</v>
      </c>
      <c r="B39" s="47">
        <v>45684.25</v>
      </c>
      <c r="C39" s="28">
        <v>0.41666666666666669</v>
      </c>
      <c r="D39" s="29">
        <v>450</v>
      </c>
      <c r="E39" s="29" t="s">
        <v>421</v>
      </c>
      <c r="F39" s="29">
        <v>4500</v>
      </c>
      <c r="G39" s="29"/>
      <c r="H39" s="48" t="str">
        <f>IFERROR(Линия10[[#This Row],[Кол-во]]/Линия10[[#This Row],[Шт. в поддоне]], "")</f>
        <v/>
      </c>
    </row>
    <row r="40" spans="1:8" hidden="1" x14ac:dyDescent="0.25">
      <c r="A40" s="47">
        <v>45684.25</v>
      </c>
      <c r="B40" s="47">
        <v>45684.291666666664</v>
      </c>
      <c r="C40" s="28">
        <v>4.1666666666666664E-2</v>
      </c>
      <c r="D40" s="29"/>
      <c r="E40" s="29" t="s">
        <v>197</v>
      </c>
      <c r="F40" s="29"/>
      <c r="G40" s="29">
        <v>384</v>
      </c>
      <c r="H40" s="48">
        <f>IFERROR(Линия10[[#This Row],[Кол-во]]/Линия10[[#This Row],[Шт. в поддоне]], "")</f>
        <v>0</v>
      </c>
    </row>
    <row r="41" spans="1:8" hidden="1" x14ac:dyDescent="0.25">
      <c r="A41" s="47">
        <v>45684.833333333336</v>
      </c>
      <c r="B41" s="47">
        <v>45684.972222222219</v>
      </c>
      <c r="C41" s="28">
        <v>0.1388888888888889</v>
      </c>
      <c r="D41" s="29">
        <v>450</v>
      </c>
      <c r="E41" s="29" t="s">
        <v>422</v>
      </c>
      <c r="F41" s="29">
        <v>1500</v>
      </c>
      <c r="G41" s="29"/>
      <c r="H41" s="48" t="str">
        <f>IFERROR(Линия10[[#This Row],[Кол-во]]/Линия10[[#This Row],[Шт. в поддоне]], "")</f>
        <v/>
      </c>
    </row>
    <row r="42" spans="1:8" hidden="1" x14ac:dyDescent="0.25">
      <c r="A42" s="47">
        <v>45684.972222222219</v>
      </c>
      <c r="B42" s="47">
        <v>45685.118055555555</v>
      </c>
      <c r="C42" s="28">
        <v>0.14583333333333334</v>
      </c>
      <c r="D42" s="29"/>
      <c r="E42" s="29" t="s">
        <v>158</v>
      </c>
      <c r="F42" s="29"/>
      <c r="G42" s="29">
        <v>384</v>
      </c>
      <c r="H42" s="48">
        <f>IFERROR(Линия10[[#This Row],[Кол-во]]/Линия10[[#This Row],[Шт. в поддоне]], "")</f>
        <v>0</v>
      </c>
    </row>
    <row r="43" spans="1:8" hidden="1" x14ac:dyDescent="0.25">
      <c r="A43" s="47">
        <v>45685.118055555555</v>
      </c>
      <c r="B43" s="47">
        <v>45685.333333333336</v>
      </c>
      <c r="C43" s="28">
        <v>0.21527777777777779</v>
      </c>
      <c r="D43" s="29">
        <v>450</v>
      </c>
      <c r="E43" s="29" t="s">
        <v>423</v>
      </c>
      <c r="F43" s="29">
        <v>2325</v>
      </c>
      <c r="G43" s="29"/>
      <c r="H43" s="48" t="str">
        <f>IFERROR(Линия10[[#This Row],[Кол-во]]/Линия10[[#This Row],[Шт. в поддоне]], "")</f>
        <v/>
      </c>
    </row>
    <row r="44" spans="1:8" hidden="1" x14ac:dyDescent="0.25">
      <c r="A44" s="47">
        <v>45685.833333333336</v>
      </c>
      <c r="B44" s="47">
        <v>45686.034722222219</v>
      </c>
      <c r="C44" s="28">
        <v>0.20138888888888887</v>
      </c>
      <c r="D44" s="29">
        <v>450</v>
      </c>
      <c r="E44" s="29" t="s">
        <v>424</v>
      </c>
      <c r="F44" s="29">
        <v>2175</v>
      </c>
      <c r="G44" s="29">
        <v>384</v>
      </c>
      <c r="H44" s="48">
        <f>IFERROR(Линия10[[#This Row],[Кол-во]]/Линия10[[#This Row],[Шт. в поддоне]], "")</f>
        <v>5.6640625</v>
      </c>
    </row>
    <row r="45" spans="1:8" hidden="1" x14ac:dyDescent="0.25">
      <c r="A45" s="47">
        <f t="shared" ref="A45:A49" si="0">B44</f>
        <v>45686.034722222219</v>
      </c>
      <c r="B45" s="47">
        <f>Линия10[[#This Row],[Дата начала]]+Линия10[[#This Row],[Длительность]]</f>
        <v>45686.076388888883</v>
      </c>
      <c r="C45" s="28">
        <f t="shared" ref="C45:C65" si="1">IF(E45="Вытеснение",TIME(0,30,0),
IF(E45="Передача смены",TIME(0,20,0),
IF(E45="Запуск",TIME(0,10,0),
IF(E45="CIP 1",TIME(0,60,0),
IF(E45="CIP 2",TIME(0,90,0),
IF(E45="CIP 3",TIME(0,210,0),
IF(AND(ISNUMBER(F45),ISNUMBER(D45),D45&gt;0),F45/D45/24,"Ошибка")))))))</f>
        <v>4.1666666666666664E-2</v>
      </c>
      <c r="D45" s="29"/>
      <c r="E45" s="29" t="s">
        <v>197</v>
      </c>
      <c r="F45" s="29"/>
      <c r="G45" s="29"/>
      <c r="H45" s="48" t="str">
        <f>IFERROR(Линия10[[#This Row],[Кол-во]]/Линия10[[#This Row],[Шт. в поддоне]], "")</f>
        <v/>
      </c>
    </row>
    <row r="46" spans="1:8" hidden="1" x14ac:dyDescent="0.25">
      <c r="A46" s="47">
        <f t="shared" si="0"/>
        <v>45686.076388888883</v>
      </c>
      <c r="B46" s="47">
        <f>Линия10[[#This Row],[Дата начала]]+Линия10[[#This Row],[Длительность]]</f>
        <v>45686.493055555547</v>
      </c>
      <c r="C46" s="28">
        <f t="shared" si="1"/>
        <v>0.41666666666666669</v>
      </c>
      <c r="D46" s="29">
        <v>450</v>
      </c>
      <c r="E46" s="130" t="s">
        <v>425</v>
      </c>
      <c r="F46" s="130">
        <v>4500</v>
      </c>
      <c r="G46" s="29">
        <v>384</v>
      </c>
      <c r="H46" s="48">
        <f>IFERROR(Линия10[[#This Row],[Кол-во]]/Линия10[[#This Row],[Шт. в поддоне]], "")</f>
        <v>11.71875</v>
      </c>
    </row>
    <row r="47" spans="1:8" hidden="1" x14ac:dyDescent="0.25">
      <c r="A47" s="47">
        <f t="shared" si="0"/>
        <v>45686.493055555547</v>
      </c>
      <c r="B47" s="47">
        <f>Линия10[[#This Row],[Дата начала]]+Линия10[[#This Row],[Длительность]]</f>
        <v>45686.534722222212</v>
      </c>
      <c r="C47" s="28">
        <f t="shared" si="1"/>
        <v>4.1666666666666664E-2</v>
      </c>
      <c r="D47" s="29"/>
      <c r="E47" s="29" t="s">
        <v>197</v>
      </c>
      <c r="F47" s="29"/>
      <c r="G47" s="29"/>
      <c r="H47" s="48" t="str">
        <f>IFERROR(Линия10[[#This Row],[Кол-во]]/Линия10[[#This Row],[Шт. в поддоне]], "")</f>
        <v/>
      </c>
    </row>
    <row r="48" spans="1:8" hidden="1" x14ac:dyDescent="0.25">
      <c r="A48" s="47">
        <f t="shared" si="0"/>
        <v>45686.534722222212</v>
      </c>
      <c r="B48" s="47">
        <f>Линия10[[#This Row],[Дата начала]]+Линия10[[#This Row],[Длительность]]</f>
        <v>45686.951388888876</v>
      </c>
      <c r="C48" s="28">
        <f t="shared" si="1"/>
        <v>0.41666666666666669</v>
      </c>
      <c r="D48" s="29">
        <v>450</v>
      </c>
      <c r="E48" s="57" t="s">
        <v>426</v>
      </c>
      <c r="F48" s="57">
        <v>4500</v>
      </c>
      <c r="G48" s="29">
        <v>384</v>
      </c>
      <c r="H48" s="48">
        <f>IFERROR(Линия10[[#This Row],[Кол-во]]/Линия10[[#This Row],[Шт. в поддоне]], "")</f>
        <v>11.71875</v>
      </c>
    </row>
    <row r="49" spans="1:13" hidden="1" x14ac:dyDescent="0.25">
      <c r="A49" s="47">
        <f t="shared" si="0"/>
        <v>45686.951388888876</v>
      </c>
      <c r="B49" s="47">
        <f>Линия10[[#This Row],[Дата начала]]+Линия10[[#This Row],[Длительность]]</f>
        <v>45686.99305555554</v>
      </c>
      <c r="C49" s="28">
        <f t="shared" si="1"/>
        <v>4.1666666666666664E-2</v>
      </c>
      <c r="D49" s="29"/>
      <c r="E49" s="29" t="s">
        <v>197</v>
      </c>
      <c r="F49" s="29"/>
      <c r="G49" s="29"/>
      <c r="H49" s="48" t="str">
        <f>IFERROR(Линия10[[#This Row],[Кол-во]]/Линия10[[#This Row],[Шт. в поддоне]], "")</f>
        <v/>
      </c>
    </row>
    <row r="50" spans="1:13" hidden="1" x14ac:dyDescent="0.25">
      <c r="A50" s="78">
        <v>46034.833333333336</v>
      </c>
      <c r="B50" s="79">
        <v>46034.895833333336</v>
      </c>
      <c r="C50" s="28">
        <f t="shared" si="1"/>
        <v>6.25E-2</v>
      </c>
      <c r="D50" s="29"/>
      <c r="E50" s="29" t="s">
        <v>153</v>
      </c>
      <c r="F50" s="29"/>
      <c r="G50" s="29" t="str">
        <f>IF(Линия10[[#This Row],[Кол-во]]&lt;&gt;"", 384, "")</f>
        <v/>
      </c>
      <c r="H50" s="48" t="str">
        <f>IFERROR(Линия10[[#This Row],[Кол-во]]/Линия10[[#This Row],[Шт. в поддоне]], "")</f>
        <v/>
      </c>
    </row>
    <row r="51" spans="1:13" hidden="1" x14ac:dyDescent="0.25">
      <c r="A51" s="78">
        <v>46034.895833333336</v>
      </c>
      <c r="B51" s="79">
        <v>46035.3125</v>
      </c>
      <c r="C51" s="28">
        <f t="shared" si="1"/>
        <v>0.41666666666666669</v>
      </c>
      <c r="D51" s="29">
        <v>450</v>
      </c>
      <c r="E51" s="29" t="s">
        <v>400</v>
      </c>
      <c r="F51" s="29">
        <v>4500</v>
      </c>
      <c r="G51" s="29">
        <f>IF(Линия10[[#This Row],[Кол-во]]&lt;&gt;"", 384, "")</f>
        <v>384</v>
      </c>
      <c r="H51" s="48">
        <f>IFERROR(Линия10[[#This Row],[Кол-во]]/Линия10[[#This Row],[Шт. в поддоне]], "")</f>
        <v>11.71875</v>
      </c>
    </row>
    <row r="52" spans="1:13" hidden="1" x14ac:dyDescent="0.25">
      <c r="A52" s="78">
        <v>46035.3125</v>
      </c>
      <c r="B52" s="79">
        <v>46035.354166666664</v>
      </c>
      <c r="C52" s="28">
        <f t="shared" si="1"/>
        <v>4.1666666666666664E-2</v>
      </c>
      <c r="D52" s="29"/>
      <c r="E52" s="29" t="s">
        <v>197</v>
      </c>
      <c r="F52" s="29"/>
      <c r="G52" s="29" t="str">
        <f>IF(Линия10[[#This Row],[Кол-во]]&lt;&gt;"", 384, "")</f>
        <v/>
      </c>
      <c r="H52" s="48" t="str">
        <f>IFERROR(Линия10[[#This Row],[Кол-во]]/Линия10[[#This Row],[Шт. в поддоне]], "")</f>
        <v/>
      </c>
      <c r="K52" s="131"/>
      <c r="L52" s="131"/>
      <c r="M52" s="132"/>
    </row>
    <row r="53" spans="1:13" hidden="1" x14ac:dyDescent="0.25">
      <c r="A53" s="78">
        <v>46035.833333333336</v>
      </c>
      <c r="B53" s="79">
        <v>46036.111111111109</v>
      </c>
      <c r="C53" s="28">
        <f t="shared" si="1"/>
        <v>0.27777777777777779</v>
      </c>
      <c r="D53" s="29">
        <v>450</v>
      </c>
      <c r="E53" s="29" t="s">
        <v>401</v>
      </c>
      <c r="F53" s="29">
        <v>3000</v>
      </c>
      <c r="G53" s="29">
        <f>IF(Линия10[[#This Row],[Кол-во]]&lt;&gt;"", 384, "")</f>
        <v>384</v>
      </c>
      <c r="H53" s="48">
        <f>IFERROR(Линия10[[#This Row],[Кол-во]]/Линия10[[#This Row],[Шт. в поддоне]], "")</f>
        <v>7.8125</v>
      </c>
      <c r="I53" s="133" t="s">
        <v>427</v>
      </c>
      <c r="K53" s="131"/>
      <c r="L53" s="131"/>
      <c r="M53" s="132"/>
    </row>
    <row r="54" spans="1:13" hidden="1" x14ac:dyDescent="0.25">
      <c r="A54" s="78">
        <v>46036.111111111109</v>
      </c>
      <c r="B54" s="79">
        <v>46036.152777777781</v>
      </c>
      <c r="C54" s="28">
        <f t="shared" si="1"/>
        <v>4.1666666666666664E-2</v>
      </c>
      <c r="D54" s="29"/>
      <c r="E54" s="29" t="s">
        <v>197</v>
      </c>
      <c r="F54" s="29"/>
      <c r="G54" s="29" t="str">
        <f>IF(Линия10[[#This Row],[Кол-во]]&lt;&gt;"", 384, "")</f>
        <v/>
      </c>
      <c r="H54" s="48" t="str">
        <f>IFERROR(Линия10[[#This Row],[Кол-во]]/Линия10[[#This Row],[Шт. в поддоне]], "")</f>
        <v/>
      </c>
      <c r="K54" s="131"/>
      <c r="L54" s="131"/>
      <c r="M54" s="132"/>
    </row>
    <row r="55" spans="1:13" hidden="1" x14ac:dyDescent="0.25">
      <c r="A55" s="78">
        <v>46036.152777777781</v>
      </c>
      <c r="B55" s="79">
        <v>46036.291666666664</v>
      </c>
      <c r="C55" s="28">
        <f t="shared" si="1"/>
        <v>0.1388888888888889</v>
      </c>
      <c r="D55" s="29">
        <v>450</v>
      </c>
      <c r="E55" s="29" t="s">
        <v>402</v>
      </c>
      <c r="F55" s="29">
        <v>1500</v>
      </c>
      <c r="G55" s="29">
        <f>IF(Линия10[[#This Row],[Кол-во]]&lt;&gt;"", 384, "")</f>
        <v>384</v>
      </c>
      <c r="H55" s="48">
        <f>IFERROR(Линия10[[#This Row],[Кол-во]]/Линия10[[#This Row],[Шт. в поддоне]], "")</f>
        <v>3.90625</v>
      </c>
      <c r="I55" s="133" t="s">
        <v>427</v>
      </c>
      <c r="K55" s="131"/>
      <c r="L55" s="131"/>
      <c r="M55" s="132"/>
    </row>
    <row r="56" spans="1:13" hidden="1" x14ac:dyDescent="0.25">
      <c r="A56" s="78">
        <v>46036.291666666664</v>
      </c>
      <c r="B56" s="79">
        <v>46036.333333333336</v>
      </c>
      <c r="C56" s="28">
        <f t="shared" si="1"/>
        <v>4.1666666666666664E-2</v>
      </c>
      <c r="D56" s="29"/>
      <c r="E56" s="29" t="s">
        <v>197</v>
      </c>
      <c r="F56" s="29"/>
      <c r="G56" s="29" t="str">
        <f>IF(Линия10[[#This Row],[Кол-во]]&lt;&gt;"", 384, "")</f>
        <v/>
      </c>
      <c r="H56" s="48" t="str">
        <f>IFERROR(Линия10[[#This Row],[Кол-во]]/Линия10[[#This Row],[Шт. в поддоне]], "")</f>
        <v/>
      </c>
      <c r="K56" s="131"/>
      <c r="L56" s="131"/>
      <c r="M56" s="132"/>
    </row>
    <row r="57" spans="1:13" hidden="1" x14ac:dyDescent="0.25">
      <c r="A57" s="47">
        <v>46036.333333333336</v>
      </c>
      <c r="B57" s="47">
        <f>Линия10[[#This Row],[Дата начала]]+Линия10[[#This Row],[Длительность]]</f>
        <v>46036.611111111117</v>
      </c>
      <c r="C57" s="28">
        <f t="shared" si="1"/>
        <v>0.27777777777777779</v>
      </c>
      <c r="D57" s="29">
        <v>450</v>
      </c>
      <c r="E57" s="29" t="s">
        <v>403</v>
      </c>
      <c r="F57" s="29">
        <v>3000</v>
      </c>
      <c r="G57" s="29">
        <f>IF(Линия10[[#This Row],[Кол-во]]&lt;&gt;"", 384, "")</f>
        <v>384</v>
      </c>
      <c r="H57" s="48">
        <f>IFERROR(Линия10[[#This Row],[Кол-во]]/Линия10[[#This Row],[Шт. в поддоне]], "")</f>
        <v>7.8125</v>
      </c>
      <c r="I57" s="133" t="s">
        <v>427</v>
      </c>
      <c r="K57" s="131"/>
      <c r="L57" s="131"/>
      <c r="M57" s="132"/>
    </row>
    <row r="58" spans="1:13" hidden="1" x14ac:dyDescent="0.25">
      <c r="A58" s="47">
        <f t="shared" ref="A58:A79" si="2">B57</f>
        <v>46036.611111111117</v>
      </c>
      <c r="B58" s="47">
        <f>Линия10[[#This Row],[Дата начала]]+Линия10[[#This Row],[Длительность]]</f>
        <v>46036.673611111117</v>
      </c>
      <c r="C58" s="28">
        <f t="shared" si="1"/>
        <v>6.25E-2</v>
      </c>
      <c r="D58" s="29"/>
      <c r="E58" s="29" t="s">
        <v>153</v>
      </c>
      <c r="F58" s="29"/>
      <c r="G58" s="29" t="str">
        <f>IF(Линия10[[#This Row],[Кол-во]]&lt;&gt;"", 384, "")</f>
        <v/>
      </c>
      <c r="H58" s="48" t="str">
        <f>IFERROR(Линия10[[#This Row],[Кол-во]]/Линия10[[#This Row],[Шт. в поддоне]], "")</f>
        <v/>
      </c>
      <c r="K58" s="131"/>
      <c r="L58" s="131"/>
      <c r="M58" s="132"/>
    </row>
    <row r="59" spans="1:13" hidden="1" x14ac:dyDescent="0.25">
      <c r="A59" s="47">
        <f t="shared" si="2"/>
        <v>46036.673611111117</v>
      </c>
      <c r="B59" s="47">
        <f>Линия10[[#This Row],[Дата начала]]+Линия10[[#This Row],[Длительность]]</f>
        <v>46037.090277777781</v>
      </c>
      <c r="C59" s="28">
        <f t="shared" si="1"/>
        <v>0.41666666666666669</v>
      </c>
      <c r="D59" s="29">
        <v>450</v>
      </c>
      <c r="E59" s="29" t="s">
        <v>428</v>
      </c>
      <c r="F59" s="29">
        <v>4500</v>
      </c>
      <c r="G59" s="29">
        <f>IF(Линия10[[#This Row],[Кол-во]]&lt;&gt;"", 384, "")</f>
        <v>384</v>
      </c>
      <c r="H59" s="48">
        <f>IFERROR(Линия10[[#This Row],[Кол-во]]/Линия10[[#This Row],[Шт. в поддоне]], "")</f>
        <v>11.71875</v>
      </c>
      <c r="K59" s="131"/>
      <c r="L59" s="131"/>
      <c r="M59" s="132"/>
    </row>
    <row r="60" spans="1:13" hidden="1" x14ac:dyDescent="0.25">
      <c r="A60" s="47">
        <f t="shared" si="2"/>
        <v>46037.090277777781</v>
      </c>
      <c r="B60" s="47">
        <f>Линия10[[#This Row],[Дата начала]]+Линия10[[#This Row],[Длительность]]</f>
        <v>46037.131944444445</v>
      </c>
      <c r="C60" s="28">
        <f t="shared" si="1"/>
        <v>4.1666666666666664E-2</v>
      </c>
      <c r="D60" s="29"/>
      <c r="E60" s="29" t="s">
        <v>197</v>
      </c>
      <c r="F60" s="29"/>
      <c r="G60" s="29" t="str">
        <f>IF(Линия10[[#This Row],[Кол-во]]&lt;&gt;"", 384, "")</f>
        <v/>
      </c>
      <c r="H60" s="48" t="str">
        <f>IFERROR(Линия10[[#This Row],[Кол-во]]/Линия10[[#This Row],[Шт. в поддоне]], "")</f>
        <v/>
      </c>
      <c r="K60" s="131"/>
      <c r="L60" s="131"/>
      <c r="M60" s="132"/>
    </row>
    <row r="61" spans="1:13" hidden="1" x14ac:dyDescent="0.25">
      <c r="A61" s="47">
        <f t="shared" si="2"/>
        <v>46037.131944444445</v>
      </c>
      <c r="B61" s="47">
        <f>Линия10[[#This Row],[Дата начала]]+Линия10[[#This Row],[Длительность]]</f>
        <v>46037.333333333336</v>
      </c>
      <c r="C61" s="28">
        <f t="shared" si="1"/>
        <v>0.20138888888888887</v>
      </c>
      <c r="D61" s="29">
        <v>450</v>
      </c>
      <c r="E61" s="29" t="s">
        <v>406</v>
      </c>
      <c r="F61" s="29">
        <v>2175</v>
      </c>
      <c r="G61" s="29">
        <f>IF(Линия10[[#This Row],[Кол-во]]&lt;&gt;"", 384, "")</f>
        <v>384</v>
      </c>
      <c r="H61" s="48">
        <f>IFERROR(Линия10[[#This Row],[Кол-во]]/Линия10[[#This Row],[Шт. в поддоне]], "")</f>
        <v>5.6640625</v>
      </c>
      <c r="K61" s="131"/>
      <c r="L61" s="131"/>
      <c r="M61" s="132"/>
    </row>
    <row r="62" spans="1:13" hidden="1" x14ac:dyDescent="0.25">
      <c r="A62" s="47">
        <v>46037.833333333336</v>
      </c>
      <c r="B62" s="47">
        <f>Линия10[[#This Row],[Дата начала]]+Линия10[[#This Row],[Длительность]]</f>
        <v>46038.048611111117</v>
      </c>
      <c r="C62" s="28">
        <f t="shared" si="1"/>
        <v>0.21527777777777779</v>
      </c>
      <c r="D62" s="29">
        <v>450</v>
      </c>
      <c r="E62" s="29" t="s">
        <v>407</v>
      </c>
      <c r="F62" s="29">
        <v>2325</v>
      </c>
      <c r="G62" s="29">
        <f>IF(Линия10[[#This Row],[Кол-во]]&lt;&gt;"", 384, "")</f>
        <v>384</v>
      </c>
      <c r="H62" s="48">
        <f>IFERROR(Линия10[[#This Row],[Кол-во]]/Линия10[[#This Row],[Шт. в поддоне]], "")</f>
        <v>6.0546875</v>
      </c>
      <c r="K62" s="131"/>
      <c r="L62" s="131"/>
      <c r="M62" s="132"/>
    </row>
    <row r="63" spans="1:13" hidden="1" x14ac:dyDescent="0.25">
      <c r="A63" s="47">
        <f t="shared" si="2"/>
        <v>46038.048611111117</v>
      </c>
      <c r="B63" s="47">
        <f>Линия10[[#This Row],[Дата начала]]+Линия10[[#This Row],[Длительность]]</f>
        <v>46038.090277777781</v>
      </c>
      <c r="C63" s="28">
        <f t="shared" si="1"/>
        <v>4.1666666666666664E-2</v>
      </c>
      <c r="D63" s="29"/>
      <c r="E63" s="29" t="s">
        <v>197</v>
      </c>
      <c r="F63" s="29"/>
      <c r="G63" s="29" t="str">
        <f>IF(Линия10[[#This Row],[Кол-во]]&lt;&gt;"", 384, "")</f>
        <v/>
      </c>
      <c r="H63" s="48" t="str">
        <f>IFERROR(Линия10[[#This Row],[Кол-во]]/Линия10[[#This Row],[Шт. в поддоне]], "")</f>
        <v/>
      </c>
      <c r="K63" s="131"/>
      <c r="L63" s="131"/>
      <c r="M63" s="132"/>
    </row>
    <row r="64" spans="1:13" hidden="1" x14ac:dyDescent="0.25">
      <c r="A64" s="47">
        <v>46037.833333333336</v>
      </c>
      <c r="B64" s="47">
        <f>Линия10[[#This Row],[Дата начала]]+Линия10[[#This Row],[Длительность]]</f>
        <v>46038.25</v>
      </c>
      <c r="C64" s="28">
        <f t="shared" si="1"/>
        <v>0.41666666666666669</v>
      </c>
      <c r="D64" s="29">
        <v>450</v>
      </c>
      <c r="E64" s="29" t="s">
        <v>429</v>
      </c>
      <c r="F64" s="29">
        <v>4500</v>
      </c>
      <c r="G64" s="29">
        <f>IF(Линия10[[#This Row],[Кол-во]]&lt;&gt;"", 384, "")</f>
        <v>384</v>
      </c>
      <c r="H64" s="48">
        <f>IFERROR(Линия10[[#This Row],[Кол-во]]/Линия10[[#This Row],[Шт. в поддоне]], "")</f>
        <v>11.71875</v>
      </c>
      <c r="K64" s="131"/>
      <c r="L64" s="131"/>
      <c r="M64" s="132"/>
    </row>
    <row r="65" spans="1:13" hidden="1" x14ac:dyDescent="0.25">
      <c r="A65" s="47">
        <f t="shared" si="2"/>
        <v>46038.25</v>
      </c>
      <c r="B65" s="47">
        <f>Линия10[[#This Row],[Дата начала]]+Линия10[[#This Row],[Длительность]]</f>
        <v>46038.3125</v>
      </c>
      <c r="C65" s="28">
        <f t="shared" si="1"/>
        <v>6.25E-2</v>
      </c>
      <c r="D65" s="29"/>
      <c r="E65" s="29" t="s">
        <v>153</v>
      </c>
      <c r="F65" s="29"/>
      <c r="G65" s="29" t="str">
        <f>IF(Линия10[[#This Row],[Кол-во]]&lt;&gt;"", 384, "")</f>
        <v/>
      </c>
      <c r="H65" s="48" t="str">
        <f>IFERROR(Линия10[[#This Row],[Кол-во]]/Линия10[[#This Row],[Шт. в поддоне]], "")</f>
        <v/>
      </c>
      <c r="K65" s="131"/>
      <c r="L65" s="131"/>
      <c r="M65" s="132"/>
    </row>
    <row r="66" spans="1:13" hidden="1" x14ac:dyDescent="0.25">
      <c r="A66" s="47">
        <v>46038.833333333336</v>
      </c>
      <c r="B66" s="47">
        <f>Линия10[[#This Row],[Дата начала]]+Линия10[[#This Row],[Длительность]]</f>
        <v>46039.25</v>
      </c>
      <c r="C66" s="28">
        <f>IF(E66="Вытеснение",TIME(0,30,0),
IF(E66="Передача смены",TIME(0,20,0),
IF(E66="Запуск",TIME(0,10,0),
IF(E66="CIP 1",TIME(0,60,0),
IF(E66="CIP 2",TIME(0,90,0),
IF(E66="CIP 3",TIME(0,210,0),
IF(AND(ISNUMBER(F66),ISNUMBER(D66),D66&gt;0),F66/D66/24,"Ошибка")))))))</f>
        <v>0.41666666666666669</v>
      </c>
      <c r="D66" s="29">
        <v>450</v>
      </c>
      <c r="E66" s="29" t="s">
        <v>414</v>
      </c>
      <c r="F66" s="29">
        <v>4500</v>
      </c>
      <c r="G66" s="29">
        <f>IF(Линия10[[#This Row],[Кол-во]]&lt;&gt;"", 384, "")</f>
        <v>384</v>
      </c>
      <c r="H66" s="48">
        <f>IFERROR(Линия10[[#This Row],[Кол-во]]/Линия10[[#This Row],[Шт. в поддоне]], "")</f>
        <v>11.71875</v>
      </c>
      <c r="K66" s="131"/>
      <c r="L66" s="131"/>
      <c r="M66" s="132"/>
    </row>
    <row r="67" spans="1:13" hidden="1" x14ac:dyDescent="0.25">
      <c r="A67" s="47">
        <f t="shared" si="2"/>
        <v>46039.25</v>
      </c>
      <c r="B67" s="47">
        <f>Линия10[[#This Row],[Дата начала]]+Линия10[[#This Row],[Длительность]]</f>
        <v>46039.291666666664</v>
      </c>
      <c r="C67" s="28">
        <f t="shared" ref="C67:C130" si="3">IF(E67="Вытеснение",TIME(0,30,0),
IF(E67="Передача смены",TIME(0,20,0),
IF(E67="Запуск",TIME(0,10,0),
IF(E67="CIP 1",TIME(0,60,0),
IF(E67="CIP 2",TIME(0,90,0),
IF(E67="CIP 3",TIME(0,210,0),
IF(AND(ISNUMBER(F67),ISNUMBER(D67),D67&gt;0),F67/D67/24,"Ошибка")))))))</f>
        <v>4.1666666666666664E-2</v>
      </c>
      <c r="D67" s="29"/>
      <c r="E67" s="29" t="s">
        <v>197</v>
      </c>
      <c r="F67" s="29"/>
      <c r="G67" s="29" t="str">
        <f>IF(Линия10[[#This Row],[Кол-во]]&lt;&gt;"", 384, "")</f>
        <v/>
      </c>
      <c r="H67" s="48" t="str">
        <f>IFERROR(Линия10[[#This Row],[Кол-во]]/Линия10[[#This Row],[Шт. в поддоне]], "")</f>
        <v/>
      </c>
      <c r="K67" s="131"/>
      <c r="L67" s="131"/>
      <c r="M67" s="132"/>
    </row>
    <row r="68" spans="1:13" hidden="1" x14ac:dyDescent="0.25">
      <c r="A68" s="47">
        <f t="shared" si="2"/>
        <v>46039.291666666664</v>
      </c>
      <c r="B68" s="47">
        <f>Линия10[[#This Row],[Дата начала]]+Линия10[[#This Row],[Длительность]]</f>
        <v>46039.754629629628</v>
      </c>
      <c r="C68" s="28">
        <f t="shared" si="3"/>
        <v>0.46296296296296297</v>
      </c>
      <c r="D68" s="29">
        <v>450</v>
      </c>
      <c r="E68" s="29" t="s">
        <v>430</v>
      </c>
      <c r="F68" s="29">
        <v>5000</v>
      </c>
      <c r="G68" s="29">
        <f>IF(Линия10[[#This Row],[Кол-во]]&lt;&gt;"", 384, "")</f>
        <v>384</v>
      </c>
      <c r="H68" s="48">
        <f>IFERROR(Линия10[[#This Row],[Кол-во]]/Линия10[[#This Row],[Шт. в поддоне]], "")</f>
        <v>13.020833333333334</v>
      </c>
      <c r="K68" s="131"/>
      <c r="L68" s="131"/>
      <c r="M68" s="132"/>
    </row>
    <row r="69" spans="1:13" hidden="1" x14ac:dyDescent="0.25">
      <c r="A69" s="47">
        <f t="shared" si="2"/>
        <v>46039.754629629628</v>
      </c>
      <c r="B69" s="47">
        <f>Линия10[[#This Row],[Дата начала]]+Линия10[[#This Row],[Длительность]]</f>
        <v>46039.796296296292</v>
      </c>
      <c r="C69" s="28">
        <f t="shared" si="3"/>
        <v>4.1666666666666664E-2</v>
      </c>
      <c r="D69" s="29"/>
      <c r="E69" s="29" t="s">
        <v>197</v>
      </c>
      <c r="F69" s="29"/>
      <c r="G69" s="29"/>
      <c r="H69" s="48"/>
      <c r="K69" s="131"/>
      <c r="L69" s="131"/>
      <c r="M69" s="132"/>
    </row>
    <row r="70" spans="1:13" hidden="1" x14ac:dyDescent="0.25">
      <c r="A70" s="47">
        <f t="shared" si="2"/>
        <v>46039.796296296292</v>
      </c>
      <c r="B70" s="47">
        <f>Линия10[[#This Row],[Дата начала]]+Линия10[[#This Row],[Длительность]]</f>
        <v>46040.259259259255</v>
      </c>
      <c r="C70" s="28">
        <f t="shared" si="3"/>
        <v>0.46296296296296297</v>
      </c>
      <c r="D70" s="29">
        <v>450</v>
      </c>
      <c r="E70" s="29" t="s">
        <v>430</v>
      </c>
      <c r="F70" s="29">
        <v>5000</v>
      </c>
      <c r="G70" s="29">
        <f>IF(Линия10[[#This Row],[Кол-во]]&lt;&gt;"", 384, "")</f>
        <v>384</v>
      </c>
      <c r="H70" s="48">
        <f>IFERROR(Линия10[[#This Row],[Кол-во]]/Линия10[[#This Row],[Шт. в поддоне]], "")</f>
        <v>13.020833333333334</v>
      </c>
      <c r="K70" s="131"/>
      <c r="L70" s="131"/>
      <c r="M70" s="132"/>
    </row>
    <row r="71" spans="1:13" hidden="1" x14ac:dyDescent="0.25">
      <c r="A71" s="47">
        <f t="shared" si="2"/>
        <v>46040.259259259255</v>
      </c>
      <c r="B71" s="47">
        <f>Линия10[[#This Row],[Дата начала]]+Линия10[[#This Row],[Длительность]]</f>
        <v>46040.30092592592</v>
      </c>
      <c r="C71" s="28">
        <f t="shared" si="3"/>
        <v>4.1666666666666664E-2</v>
      </c>
      <c r="D71" s="29"/>
      <c r="E71" s="29" t="s">
        <v>197</v>
      </c>
      <c r="F71" s="29"/>
      <c r="G71" s="29"/>
      <c r="H71" s="48"/>
      <c r="K71" s="131"/>
      <c r="L71" s="131"/>
      <c r="M71" s="132"/>
    </row>
    <row r="72" spans="1:13" hidden="1" x14ac:dyDescent="0.25">
      <c r="A72" s="47">
        <f t="shared" si="2"/>
        <v>46040.30092592592</v>
      </c>
      <c r="B72" s="47">
        <f>Линия10[[#This Row],[Дата начала]]+Линия10[[#This Row],[Длительность]]</f>
        <v>46040.763888888883</v>
      </c>
      <c r="C72" s="28">
        <f t="shared" si="3"/>
        <v>0.46296296296296297</v>
      </c>
      <c r="D72" s="29">
        <v>450</v>
      </c>
      <c r="E72" s="29" t="s">
        <v>430</v>
      </c>
      <c r="F72" s="29">
        <v>5000</v>
      </c>
      <c r="G72" s="29">
        <f>IF(Линия10[[#This Row],[Кол-во]]&lt;&gt;"", 384, "")</f>
        <v>384</v>
      </c>
      <c r="H72" s="48">
        <f>IFERROR(Линия10[[#This Row],[Кол-во]]/Линия10[[#This Row],[Шт. в поддоне]], "")</f>
        <v>13.020833333333334</v>
      </c>
      <c r="K72" s="131"/>
      <c r="L72" s="131"/>
      <c r="M72" s="132"/>
    </row>
    <row r="73" spans="1:13" hidden="1" x14ac:dyDescent="0.25">
      <c r="A73" s="47">
        <f t="shared" si="2"/>
        <v>46040.763888888883</v>
      </c>
      <c r="B73" s="47">
        <f>Линия10[[#This Row],[Дата начала]]+Линия10[[#This Row],[Длительность]]</f>
        <v>46040.805555555547</v>
      </c>
      <c r="C73" s="28">
        <f t="shared" si="3"/>
        <v>4.1666666666666664E-2</v>
      </c>
      <c r="D73" s="29"/>
      <c r="E73" s="29" t="s">
        <v>197</v>
      </c>
      <c r="F73" s="29"/>
      <c r="G73" s="29" t="str">
        <f>IF(Линия10[[#This Row],[Кол-во]]&lt;&gt;"", 384, "")</f>
        <v/>
      </c>
      <c r="H73" s="48" t="str">
        <f>IFERROR(Линия10[[#This Row],[Кол-во]]/Линия10[[#This Row],[Шт. в поддоне]], "")</f>
        <v/>
      </c>
      <c r="K73" s="131"/>
      <c r="L73" s="131"/>
      <c r="M73" s="132"/>
    </row>
    <row r="74" spans="1:13" hidden="1" x14ac:dyDescent="0.25">
      <c r="A74" s="47">
        <f t="shared" si="2"/>
        <v>46040.805555555547</v>
      </c>
      <c r="B74" s="47">
        <f>Линия10[[#This Row],[Дата начала]]+Линия10[[#This Row],[Длительность]]</f>
        <v>46041.222222222212</v>
      </c>
      <c r="C74" s="28">
        <f t="shared" si="3"/>
        <v>0.41666666666666669</v>
      </c>
      <c r="D74" s="29">
        <v>450</v>
      </c>
      <c r="E74" s="29" t="s">
        <v>415</v>
      </c>
      <c r="F74" s="29">
        <v>4500</v>
      </c>
      <c r="G74" s="29">
        <f>IF(Линия10[[#This Row],[Кол-во]]&lt;&gt;"", 384, "")</f>
        <v>384</v>
      </c>
      <c r="H74" s="48">
        <f>IFERROR(Линия10[[#This Row],[Кол-во]]/Линия10[[#This Row],[Шт. в поддоне]], "")</f>
        <v>11.71875</v>
      </c>
      <c r="K74" s="131"/>
      <c r="L74" s="131"/>
      <c r="M74" s="132"/>
    </row>
    <row r="75" spans="1:13" hidden="1" x14ac:dyDescent="0.25">
      <c r="A75" s="47">
        <f t="shared" si="2"/>
        <v>46041.222222222212</v>
      </c>
      <c r="B75" s="47">
        <f>Линия10[[#This Row],[Дата начала]]+Линия10[[#This Row],[Длительность]]</f>
        <v>46041.284722222212</v>
      </c>
      <c r="C75" s="28">
        <f t="shared" si="3"/>
        <v>6.25E-2</v>
      </c>
      <c r="D75" s="29"/>
      <c r="E75" s="29" t="s">
        <v>153</v>
      </c>
      <c r="F75" s="29"/>
      <c r="G75" s="29" t="str">
        <f>IF(Линия10[[#This Row],[Кол-во]]&lt;&gt;"", 384, "")</f>
        <v/>
      </c>
      <c r="H75" s="48" t="str">
        <f>IFERROR(Линия10[[#This Row],[Кол-во]]/Линия10[[#This Row],[Шт. в поддоне]], "")</f>
        <v/>
      </c>
      <c r="K75" s="131"/>
      <c r="L75" s="131"/>
      <c r="M75" s="132"/>
    </row>
    <row r="76" spans="1:13" hidden="1" x14ac:dyDescent="0.25">
      <c r="A76" s="134">
        <v>46041.833333333336</v>
      </c>
      <c r="B76" s="47">
        <f>Линия10[[#This Row],[Дата начала]]+Линия10[[#This Row],[Длительность]]</f>
        <v>46042.25</v>
      </c>
      <c r="C76" s="28">
        <f t="shared" si="3"/>
        <v>0.41666666666666669</v>
      </c>
      <c r="D76" s="29">
        <v>450</v>
      </c>
      <c r="E76" s="29" t="s">
        <v>431</v>
      </c>
      <c r="F76" s="29">
        <v>4500</v>
      </c>
      <c r="G76" s="29">
        <f>IF(Линия10[[#This Row],[Кол-во]]&lt;&gt;"", 384, "")</f>
        <v>384</v>
      </c>
      <c r="H76" s="48">
        <f>IFERROR(Линия10[[#This Row],[Кол-во]]/Линия10[[#This Row],[Шт. в поддоне]], "")</f>
        <v>11.71875</v>
      </c>
      <c r="K76" s="131"/>
      <c r="L76" s="131"/>
      <c r="M76" s="132"/>
    </row>
    <row r="77" spans="1:13" hidden="1" x14ac:dyDescent="0.25">
      <c r="A77" s="47">
        <f t="shared" si="2"/>
        <v>46042.25</v>
      </c>
      <c r="B77" s="47">
        <f>Линия10[[#This Row],[Дата начала]]+Линия10[[#This Row],[Длительность]]</f>
        <v>46042.291666666664</v>
      </c>
      <c r="C77" s="28">
        <f t="shared" si="3"/>
        <v>4.1666666666666664E-2</v>
      </c>
      <c r="D77" s="29"/>
      <c r="E77" s="29" t="s">
        <v>197</v>
      </c>
      <c r="F77" s="29"/>
      <c r="G77" s="29" t="str">
        <f>IF(Линия10[[#This Row],[Кол-во]]&lt;&gt;"", 384, "")</f>
        <v/>
      </c>
      <c r="H77" s="48" t="str">
        <f>IFERROR(Линия10[[#This Row],[Кол-во]]/Линия10[[#This Row],[Шт. в поддоне]], "")</f>
        <v/>
      </c>
      <c r="K77" s="131"/>
      <c r="L77" s="131"/>
      <c r="M77" s="132"/>
    </row>
    <row r="78" spans="1:13" hidden="1" x14ac:dyDescent="0.25">
      <c r="A78" s="134">
        <v>46042.833333333336</v>
      </c>
      <c r="B78" s="47">
        <v>46043.333333333336</v>
      </c>
      <c r="C78" s="28">
        <f t="shared" si="3"/>
        <v>0.55555555555555558</v>
      </c>
      <c r="D78" s="29">
        <v>450</v>
      </c>
      <c r="E78" s="29" t="s">
        <v>416</v>
      </c>
      <c r="F78" s="29">
        <v>6000</v>
      </c>
      <c r="G78" s="29">
        <f>IF(Линия10[[#This Row],[Кол-во]]&lt;&gt;"", 384, "")</f>
        <v>384</v>
      </c>
      <c r="H78" s="48">
        <f>IFERROR(Линия10[[#This Row],[Кол-во]]/Линия10[[#This Row],[Шт. в поддоне]], "")</f>
        <v>15.625</v>
      </c>
      <c r="K78" s="131"/>
      <c r="L78" s="131"/>
      <c r="M78" s="132"/>
    </row>
    <row r="79" spans="1:13" hidden="1" x14ac:dyDescent="0.25">
      <c r="A79" s="47">
        <f t="shared" si="2"/>
        <v>46043.333333333336</v>
      </c>
      <c r="B79" s="47">
        <v>46043.333333333336</v>
      </c>
      <c r="C79" s="28">
        <f t="shared" si="3"/>
        <v>4.1666666666666664E-2</v>
      </c>
      <c r="D79" s="29"/>
      <c r="E79" s="29" t="s">
        <v>197</v>
      </c>
      <c r="F79" s="29"/>
      <c r="G79" s="29" t="str">
        <f>IF(Линия10[[#This Row],[Кол-во]]&lt;&gt;"", 384, "")</f>
        <v/>
      </c>
      <c r="H79" s="48" t="str">
        <f>IFERROR(Линия10[[#This Row],[Кол-во]]/Линия10[[#This Row],[Шт. в поддоне]], "")</f>
        <v/>
      </c>
      <c r="K79" s="131"/>
      <c r="L79" s="131"/>
      <c r="M79" s="132"/>
    </row>
    <row r="80" spans="1:13" hidden="1" x14ac:dyDescent="0.25">
      <c r="A80" s="134">
        <v>46042.833333333336</v>
      </c>
      <c r="B80" s="47">
        <f>Линия10[[#This Row],[Дата начала]]+Линия10[[#This Row],[Длительность]]</f>
        <v>46043.25</v>
      </c>
      <c r="C80" s="28">
        <f t="shared" si="3"/>
        <v>0.41666666666666669</v>
      </c>
      <c r="D80" s="29">
        <v>450</v>
      </c>
      <c r="E80" s="29" t="s">
        <v>420</v>
      </c>
      <c r="F80" s="29">
        <v>4500</v>
      </c>
      <c r="G80" s="29">
        <f>IF(Линия10[[#This Row],[Кол-во]]&lt;&gt;"", 384, "")</f>
        <v>384</v>
      </c>
      <c r="H80" s="48">
        <f>IFERROR(Линия10[[#This Row],[Кол-во]]/Линия10[[#This Row],[Шт. в поддоне]], "")</f>
        <v>11.71875</v>
      </c>
      <c r="K80" s="131"/>
      <c r="L80" s="131"/>
      <c r="M80" s="132"/>
    </row>
    <row r="81" spans="1:13" hidden="1" x14ac:dyDescent="0.25">
      <c r="A81" s="47">
        <f t="shared" ref="A81:A133" si="4">B80</f>
        <v>46043.25</v>
      </c>
      <c r="B81" s="47">
        <f>Линия10[[#This Row],[Дата начала]]+Линия10[[#This Row],[Длительность]]</f>
        <v>46043.291666666664</v>
      </c>
      <c r="C81" s="28">
        <f t="shared" si="3"/>
        <v>4.1666666666666664E-2</v>
      </c>
      <c r="D81" s="29"/>
      <c r="E81" s="29" t="s">
        <v>197</v>
      </c>
      <c r="F81" s="29"/>
      <c r="G81" s="29" t="str">
        <f>IF(Линия10[[#This Row],[Кол-во]]&lt;&gt;"", 384, "")</f>
        <v/>
      </c>
      <c r="H81" s="48" t="str">
        <f>IFERROR(Линия10[[#This Row],[Кол-во]]/Линия10[[#This Row],[Шт. в поддоне]], "")</f>
        <v/>
      </c>
      <c r="K81" s="131"/>
      <c r="L81" s="131"/>
      <c r="M81" s="132"/>
    </row>
    <row r="82" spans="1:13" hidden="1" x14ac:dyDescent="0.25">
      <c r="A82" s="134">
        <v>46045.833333333336</v>
      </c>
      <c r="B82" s="47">
        <f>Линия10[[#This Row],[Дата начала]]+Линия10[[#This Row],[Длительность]]</f>
        <v>46046.25</v>
      </c>
      <c r="C82" s="28">
        <f t="shared" si="3"/>
        <v>0.41666666666666669</v>
      </c>
      <c r="D82" s="29">
        <v>450</v>
      </c>
      <c r="E82" s="29" t="s">
        <v>432</v>
      </c>
      <c r="F82" s="29">
        <v>4500</v>
      </c>
      <c r="G82" s="29">
        <f>IF(Линия10[[#This Row],[Кол-во]]&lt;&gt;"", 384, "")</f>
        <v>384</v>
      </c>
      <c r="H82" s="48">
        <f>IFERROR(Линия10[[#This Row],[Кол-во]]/Линия10[[#This Row],[Шт. в поддоне]], "")</f>
        <v>11.71875</v>
      </c>
      <c r="K82" s="131"/>
      <c r="L82" s="131"/>
      <c r="M82" s="132"/>
    </row>
    <row r="83" spans="1:13" hidden="1" x14ac:dyDescent="0.25">
      <c r="A83" s="47">
        <f t="shared" si="4"/>
        <v>46046.25</v>
      </c>
      <c r="B83" s="47">
        <f>Линия10[[#This Row],[Дата начала]]+Линия10[[#This Row],[Длительность]]</f>
        <v>46046.291666666664</v>
      </c>
      <c r="C83" s="28">
        <f t="shared" si="3"/>
        <v>4.1666666666666664E-2</v>
      </c>
      <c r="D83" s="29"/>
      <c r="E83" s="29" t="s">
        <v>197</v>
      </c>
      <c r="F83" s="29"/>
      <c r="G83" s="29" t="str">
        <f>IF(Линия10[[#This Row],[Кол-во]]&lt;&gt;"", 384, "")</f>
        <v/>
      </c>
      <c r="H83" s="48" t="str">
        <f>IFERROR(Линия10[[#This Row],[Кол-во]]/Линия10[[#This Row],[Шт. в поддоне]], "")</f>
        <v/>
      </c>
      <c r="K83" s="131"/>
      <c r="L83" s="131"/>
      <c r="M83" s="132"/>
    </row>
    <row r="84" spans="1:13" hidden="1" x14ac:dyDescent="0.25">
      <c r="A84" s="47">
        <f t="shared" si="4"/>
        <v>46046.291666666664</v>
      </c>
      <c r="B84" s="47">
        <f>Линия10[[#This Row],[Дата начала]]+Линия10[[#This Row],[Длительность]]</f>
        <v>46046.708333333328</v>
      </c>
      <c r="C84" s="28">
        <f t="shared" si="3"/>
        <v>0.41666666666666669</v>
      </c>
      <c r="D84" s="29">
        <v>450</v>
      </c>
      <c r="E84" s="29" t="s">
        <v>433</v>
      </c>
      <c r="F84" s="29">
        <v>4500</v>
      </c>
      <c r="G84" s="29">
        <f>IF(Линия10[[#This Row],[Кол-во]]&lt;&gt;"", 384, "")</f>
        <v>384</v>
      </c>
      <c r="H84" s="48">
        <f>IFERROR(Линия10[[#This Row],[Кол-во]]/Линия10[[#This Row],[Шт. в поддоне]], "")</f>
        <v>11.71875</v>
      </c>
      <c r="K84" s="131"/>
      <c r="L84" s="131"/>
      <c r="M84" s="132"/>
    </row>
    <row r="85" spans="1:13" hidden="1" x14ac:dyDescent="0.25">
      <c r="A85" s="47">
        <f t="shared" si="4"/>
        <v>46046.708333333328</v>
      </c>
      <c r="B85" s="47">
        <f>Линия10[[#This Row],[Дата начала]]+Линия10[[#This Row],[Длительность]]</f>
        <v>46046.749999999993</v>
      </c>
      <c r="C85" s="28">
        <f t="shared" si="3"/>
        <v>4.1666666666666664E-2</v>
      </c>
      <c r="D85" s="29"/>
      <c r="E85" s="29" t="s">
        <v>197</v>
      </c>
      <c r="F85" s="29"/>
      <c r="G85" s="29" t="str">
        <f>IF(Линия10[[#This Row],[Кол-во]]&lt;&gt;"", 384, "")</f>
        <v/>
      </c>
      <c r="H85" s="48" t="str">
        <f>IFERROR(Линия10[[#This Row],[Кол-во]]/Линия10[[#This Row],[Шт. в поддоне]], "")</f>
        <v/>
      </c>
    </row>
    <row r="86" spans="1:13" hidden="1" x14ac:dyDescent="0.25">
      <c r="A86" s="47">
        <f t="shared" si="4"/>
        <v>46046.749999999993</v>
      </c>
      <c r="B86" s="47">
        <f>Линия10[[#This Row],[Дата начала]]+Линия10[[#This Row],[Длительность]]</f>
        <v>46046.888888888883</v>
      </c>
      <c r="C86" s="28">
        <f t="shared" si="3"/>
        <v>0.1388888888888889</v>
      </c>
      <c r="D86" s="29">
        <v>450</v>
      </c>
      <c r="E86" s="29" t="s">
        <v>422</v>
      </c>
      <c r="F86" s="29">
        <v>1500</v>
      </c>
      <c r="G86" s="54">
        <v>432</v>
      </c>
      <c r="H86" s="48">
        <f>IFERROR(Линия10[[#This Row],[Кол-во]]/Линия10[[#This Row],[Шт. в поддоне]], "")</f>
        <v>3.4722222222222223</v>
      </c>
      <c r="J86" s="135"/>
      <c r="K86" s="136" t="s">
        <v>434</v>
      </c>
    </row>
    <row r="87" spans="1:13" hidden="1" x14ac:dyDescent="0.25">
      <c r="A87" s="47">
        <f t="shared" si="4"/>
        <v>46046.888888888883</v>
      </c>
      <c r="B87" s="47">
        <f>Линия10[[#This Row],[Дата начала]]+Линия10[[#This Row],[Длительность]]</f>
        <v>46047.034722222219</v>
      </c>
      <c r="C87" s="28">
        <f t="shared" si="3"/>
        <v>0.14583333333333334</v>
      </c>
      <c r="D87" s="29"/>
      <c r="E87" s="29" t="s">
        <v>158</v>
      </c>
      <c r="F87" s="29"/>
      <c r="G87" s="29"/>
      <c r="H87" s="48" t="str">
        <f>IFERROR(Линия10[[#This Row],[Кол-во]]/Линия10[[#This Row],[Шт. в поддоне]], "")</f>
        <v/>
      </c>
    </row>
    <row r="88" spans="1:13" hidden="1" x14ac:dyDescent="0.25">
      <c r="A88" s="47">
        <f t="shared" si="4"/>
        <v>46047.034722222219</v>
      </c>
      <c r="B88" s="47">
        <f>Линия10[[#This Row],[Дата начала]]+Линия10[[#This Row],[Длительность]]</f>
        <v>46047.3125</v>
      </c>
      <c r="C88" s="28">
        <f t="shared" si="3"/>
        <v>0.27777777777777779</v>
      </c>
      <c r="D88" s="29">
        <v>450</v>
      </c>
      <c r="E88" s="112" t="s">
        <v>435</v>
      </c>
      <c r="F88" s="29">
        <v>3000</v>
      </c>
      <c r="G88" s="54">
        <v>432</v>
      </c>
      <c r="H88" s="48">
        <f>IFERROR(Линия10[[#This Row],[Кол-во]]/Линия10[[#This Row],[Шт. в поддоне]], "")</f>
        <v>6.9444444444444446</v>
      </c>
    </row>
    <row r="89" spans="1:13" hidden="1" x14ac:dyDescent="0.25">
      <c r="A89" s="47">
        <f t="shared" si="4"/>
        <v>46047.3125</v>
      </c>
      <c r="B89" s="47">
        <f>Линия10[[#This Row],[Дата начала]]+Линия10[[#This Row],[Длительность]]</f>
        <v>46047.354166666664</v>
      </c>
      <c r="C89" s="28">
        <f t="shared" si="3"/>
        <v>4.1666666666666664E-2</v>
      </c>
      <c r="D89" s="29"/>
      <c r="E89" s="29" t="s">
        <v>197</v>
      </c>
      <c r="F89" s="29"/>
      <c r="G89" s="29" t="str">
        <f>IF(Линия10[[#This Row],[Кол-во]]&lt;&gt;"", 384, "")</f>
        <v/>
      </c>
      <c r="H89" s="48" t="str">
        <f>IFERROR(Линия10[[#This Row],[Кол-во]]/Линия10[[#This Row],[Шт. в поддоне]], "")</f>
        <v/>
      </c>
    </row>
    <row r="90" spans="1:13" hidden="1" x14ac:dyDescent="0.25">
      <c r="A90" s="47">
        <f t="shared" si="4"/>
        <v>46047.354166666664</v>
      </c>
      <c r="B90" s="47">
        <f>Линия10[[#This Row],[Дата начала]]+Линия10[[#This Row],[Длительность]]</f>
        <v>46047.631944444445</v>
      </c>
      <c r="C90" s="28">
        <f t="shared" si="3"/>
        <v>0.27777777777777779</v>
      </c>
      <c r="D90" s="29">
        <v>450</v>
      </c>
      <c r="E90" s="29" t="s">
        <v>436</v>
      </c>
      <c r="F90" s="29">
        <v>3000</v>
      </c>
      <c r="G90" s="54">
        <v>432</v>
      </c>
      <c r="H90" s="48">
        <f>IFERROR(Линия10[[#This Row],[Кол-во]]/Линия10[[#This Row],[Шт. в поддоне]], "")</f>
        <v>6.9444444444444446</v>
      </c>
    </row>
    <row r="91" spans="1:13" hidden="1" x14ac:dyDescent="0.25">
      <c r="A91" s="47">
        <f t="shared" si="4"/>
        <v>46047.631944444445</v>
      </c>
      <c r="B91" s="47">
        <f>Линия10[[#This Row],[Дата начала]]+Линия10[[#This Row],[Длительность]]</f>
        <v>46047.673611111109</v>
      </c>
      <c r="C91" s="28">
        <f t="shared" si="3"/>
        <v>4.1666666666666664E-2</v>
      </c>
      <c r="D91" s="29"/>
      <c r="E91" s="29" t="s">
        <v>197</v>
      </c>
      <c r="F91" s="29"/>
      <c r="G91" s="29" t="str">
        <f>IF(Линия10[[#This Row],[Кол-во]]&lt;&gt;"", 384, "")</f>
        <v/>
      </c>
      <c r="H91" s="48" t="str">
        <f>IFERROR(Линия10[[#This Row],[Кол-во]]/Линия10[[#This Row],[Шт. в поддоне]], "")</f>
        <v/>
      </c>
    </row>
    <row r="92" spans="1:13" hidden="1" x14ac:dyDescent="0.25">
      <c r="A92" s="47">
        <f t="shared" si="4"/>
        <v>46047.673611111109</v>
      </c>
      <c r="B92" s="47">
        <f>Линия10[[#This Row],[Дата начала]]+Линия10[[#This Row],[Длительность]]</f>
        <v>46047.951388888891</v>
      </c>
      <c r="C92" s="28">
        <f t="shared" si="3"/>
        <v>0.27777777777777779</v>
      </c>
      <c r="D92" s="29">
        <v>450</v>
      </c>
      <c r="E92" s="29" t="s">
        <v>437</v>
      </c>
      <c r="F92" s="29">
        <v>3000</v>
      </c>
      <c r="G92" s="54">
        <v>432</v>
      </c>
      <c r="H92" s="48">
        <f>IFERROR(Линия10[[#This Row],[Кол-во]]/Линия10[[#This Row],[Шт. в поддоне]], "")</f>
        <v>6.9444444444444446</v>
      </c>
    </row>
    <row r="93" spans="1:13" hidden="1" x14ac:dyDescent="0.25">
      <c r="A93" s="47">
        <f t="shared" si="4"/>
        <v>46047.951388888891</v>
      </c>
      <c r="B93" s="47">
        <f>Линия10[[#This Row],[Дата начала]]+Линия10[[#This Row],[Длительность]]</f>
        <v>46047.993055555555</v>
      </c>
      <c r="C93" s="28">
        <f t="shared" si="3"/>
        <v>4.1666666666666664E-2</v>
      </c>
      <c r="D93" s="29"/>
      <c r="E93" s="29" t="s">
        <v>197</v>
      </c>
      <c r="F93" s="29"/>
      <c r="G93" s="29" t="str">
        <f>IF(Линия10[[#This Row],[Кол-во]]&lt;&gt;"", 384, "")</f>
        <v/>
      </c>
      <c r="H93" s="48" t="str">
        <f>IFERROR(Линия10[[#This Row],[Кол-во]]/Линия10[[#This Row],[Шт. в поддоне]], "")</f>
        <v/>
      </c>
    </row>
    <row r="94" spans="1:13" hidden="1" x14ac:dyDescent="0.25">
      <c r="A94" s="47">
        <v>46049.333333333336</v>
      </c>
      <c r="B94" s="47">
        <f>Линия10[[#This Row],[Дата начала]]+Линия10[[#This Row],[Длительность]]</f>
        <v>46049.611111111117</v>
      </c>
      <c r="C94" s="28">
        <f t="shared" si="3"/>
        <v>0.27777777777777779</v>
      </c>
      <c r="D94" s="29">
        <v>450</v>
      </c>
      <c r="E94" s="29" t="s">
        <v>438</v>
      </c>
      <c r="F94" s="29">
        <v>3000</v>
      </c>
      <c r="G94" s="54">
        <v>432</v>
      </c>
      <c r="H94" s="48">
        <f>IFERROR(Линия10[[#This Row],[Кол-во]]/Линия10[[#This Row],[Шт. в поддоне]], "")</f>
        <v>6.9444444444444446</v>
      </c>
    </row>
    <row r="95" spans="1:13" hidden="1" x14ac:dyDescent="0.25">
      <c r="A95" s="47">
        <f t="shared" si="4"/>
        <v>46049.611111111117</v>
      </c>
      <c r="B95" s="47">
        <f>Линия10[[#This Row],[Дата начала]]+Линия10[[#This Row],[Длительность]]</f>
        <v>46049.652777777781</v>
      </c>
      <c r="C95" s="28">
        <f t="shared" si="3"/>
        <v>4.1666666666666664E-2</v>
      </c>
      <c r="D95" s="29"/>
      <c r="E95" s="29" t="s">
        <v>197</v>
      </c>
      <c r="F95" s="29"/>
      <c r="G95" s="29" t="str">
        <f>IF(Линия10[[#This Row],[Кол-во]]&lt;&gt;"", 384, "")</f>
        <v/>
      </c>
      <c r="H95" s="48" t="str">
        <f>IFERROR(Линия10[[#This Row],[Кол-во]]/Линия10[[#This Row],[Шт. в поддоне]], "")</f>
        <v/>
      </c>
    </row>
    <row r="96" spans="1:13" hidden="1" x14ac:dyDescent="0.25">
      <c r="A96" s="47">
        <f t="shared" si="4"/>
        <v>46049.652777777781</v>
      </c>
      <c r="B96" s="47">
        <f>Линия10[[#This Row],[Дата начала]]+Линия10[[#This Row],[Длительность]]</f>
        <v>46049.930555555562</v>
      </c>
      <c r="C96" s="28">
        <f t="shared" si="3"/>
        <v>0.27777777777777779</v>
      </c>
      <c r="D96" s="29">
        <v>450</v>
      </c>
      <c r="E96" s="29" t="s">
        <v>439</v>
      </c>
      <c r="F96" s="29">
        <v>3000</v>
      </c>
      <c r="G96" s="54">
        <v>432</v>
      </c>
      <c r="H96" s="48">
        <f>IFERROR(Линия10[[#This Row],[Кол-во]]/Линия10[[#This Row],[Шт. в поддоне]], "")</f>
        <v>6.9444444444444446</v>
      </c>
    </row>
    <row r="97" spans="1:8" hidden="1" x14ac:dyDescent="0.25">
      <c r="A97" s="47">
        <f t="shared" si="4"/>
        <v>46049.930555555562</v>
      </c>
      <c r="B97" s="47">
        <f>Линия10[[#This Row],[Дата начала]]+Линия10[[#This Row],[Длительность]]</f>
        <v>46049.993055555562</v>
      </c>
      <c r="C97" s="28">
        <f t="shared" si="3"/>
        <v>6.25E-2</v>
      </c>
      <c r="D97" s="29"/>
      <c r="E97" s="29" t="s">
        <v>153</v>
      </c>
      <c r="F97" s="29"/>
      <c r="G97" s="29" t="str">
        <f>IF(Линия10[[#This Row],[Кол-во]]&lt;&gt;"", 384, "")</f>
        <v/>
      </c>
      <c r="H97" s="48" t="str">
        <f>IFERROR(Линия10[[#This Row],[Кол-во]]/Линия10[[#This Row],[Шт. в поддоне]], "")</f>
        <v/>
      </c>
    </row>
    <row r="98" spans="1:8" hidden="1" x14ac:dyDescent="0.25">
      <c r="A98" s="47">
        <f t="shared" si="4"/>
        <v>46049.993055555562</v>
      </c>
      <c r="B98" s="47">
        <f>Линия10[[#This Row],[Дата начала]]+Линия10[[#This Row],[Длительность]]</f>
        <v>46050.270833333343</v>
      </c>
      <c r="C98" s="28">
        <f t="shared" si="3"/>
        <v>0.27777777777777779</v>
      </c>
      <c r="D98" s="29">
        <v>450</v>
      </c>
      <c r="E98" s="29" t="s">
        <v>440</v>
      </c>
      <c r="F98" s="29">
        <v>3000</v>
      </c>
      <c r="G98" s="54">
        <v>432</v>
      </c>
      <c r="H98" s="48">
        <f>IFERROR(Линия10[[#This Row],[Кол-во]]/Линия10[[#This Row],[Шт. в поддоне]], "")</f>
        <v>6.9444444444444446</v>
      </c>
    </row>
    <row r="99" spans="1:8" hidden="1" x14ac:dyDescent="0.25">
      <c r="A99" s="47">
        <f t="shared" si="4"/>
        <v>46050.270833333343</v>
      </c>
      <c r="B99" s="47">
        <f>Линия10[[#This Row],[Дата начала]]+Линия10[[#This Row],[Длительность]]</f>
        <v>46050.312500000007</v>
      </c>
      <c r="C99" s="28">
        <f t="shared" si="3"/>
        <v>4.1666666666666664E-2</v>
      </c>
      <c r="D99" s="29"/>
      <c r="E99" s="29" t="s">
        <v>197</v>
      </c>
      <c r="F99" s="29"/>
      <c r="G99" s="29"/>
      <c r="H99" s="48" t="str">
        <f>IFERROR(Линия10[[#This Row],[Кол-во]]/Линия10[[#This Row],[Шт. в поддоне]], "")</f>
        <v/>
      </c>
    </row>
    <row r="100" spans="1:8" hidden="1" x14ac:dyDescent="0.25">
      <c r="A100" s="47">
        <v>46050.25</v>
      </c>
      <c r="B100" s="47">
        <f>Линия10[[#This Row],[Дата начала]]+Линия10[[#This Row],[Длительность]]</f>
        <v>46050.527777777781</v>
      </c>
      <c r="C100" s="28">
        <f t="shared" si="3"/>
        <v>0.27777777777777779</v>
      </c>
      <c r="D100" s="29">
        <v>450</v>
      </c>
      <c r="E100" s="29" t="s">
        <v>441</v>
      </c>
      <c r="F100" s="29">
        <v>3000</v>
      </c>
      <c r="G100" s="54">
        <v>432</v>
      </c>
      <c r="H100" s="48">
        <f>IFERROR(Линия10[[#This Row],[Кол-во]]/Линия10[[#This Row],[Шт. в поддоне]], "")</f>
        <v>6.9444444444444446</v>
      </c>
    </row>
    <row r="101" spans="1:8" hidden="1" x14ac:dyDescent="0.25">
      <c r="A101" s="47">
        <f t="shared" si="4"/>
        <v>46050.527777777781</v>
      </c>
      <c r="B101" s="47">
        <f>Линия10[[#This Row],[Дата начала]]+Линия10[[#This Row],[Длительность]]</f>
        <v>46050.569444444445</v>
      </c>
      <c r="C101" s="28">
        <f t="shared" si="3"/>
        <v>4.1666666666666664E-2</v>
      </c>
      <c r="D101" s="29"/>
      <c r="E101" s="29" t="s">
        <v>197</v>
      </c>
      <c r="F101" s="29"/>
      <c r="G101" s="29" t="str">
        <f>IF(Линия10[[#This Row],[Кол-во]]&lt;&gt;"", 384, "")</f>
        <v/>
      </c>
      <c r="H101" s="48" t="str">
        <f>IFERROR(Линия10[[#This Row],[Кол-во]]/Линия10[[#This Row],[Шт. в поддоне]], "")</f>
        <v/>
      </c>
    </row>
    <row r="102" spans="1:8" hidden="1" x14ac:dyDescent="0.25">
      <c r="A102" s="47">
        <f t="shared" si="4"/>
        <v>46050.569444444445</v>
      </c>
      <c r="B102" s="47">
        <f>Линия10[[#This Row],[Дата начала]]+Линия10[[#This Row],[Длительность]]</f>
        <v>46050.847222222226</v>
      </c>
      <c r="C102" s="28">
        <f t="shared" si="3"/>
        <v>0.27777777777777779</v>
      </c>
      <c r="D102" s="29">
        <v>450</v>
      </c>
      <c r="E102" s="29" t="s">
        <v>442</v>
      </c>
      <c r="F102" s="29">
        <v>3000</v>
      </c>
      <c r="G102" s="54">
        <v>432</v>
      </c>
      <c r="H102" s="48">
        <f>IFERROR(Линия10[[#This Row],[Кол-во]]/Линия10[[#This Row],[Шт. в поддоне]], "")</f>
        <v>6.9444444444444446</v>
      </c>
    </row>
    <row r="103" spans="1:8" hidden="1" x14ac:dyDescent="0.25">
      <c r="A103" s="47">
        <f t="shared" si="4"/>
        <v>46050.847222222226</v>
      </c>
      <c r="B103" s="47">
        <f>Линия10[[#This Row],[Дата начала]]+Линия10[[#This Row],[Длительность]]</f>
        <v>46050.888888888891</v>
      </c>
      <c r="C103" s="28">
        <f t="shared" si="3"/>
        <v>4.1666666666666664E-2</v>
      </c>
      <c r="D103" s="29"/>
      <c r="E103" s="29" t="s">
        <v>197</v>
      </c>
      <c r="F103" s="29"/>
      <c r="G103" s="29" t="str">
        <f>IF(Линия10[[#This Row],[Кол-во]]&lt;&gt;"", 384, "")</f>
        <v/>
      </c>
      <c r="H103" s="48" t="str">
        <f>IFERROR(Линия10[[#This Row],[Кол-во]]/Линия10[[#This Row],[Шт. в поддоне]], "")</f>
        <v/>
      </c>
    </row>
    <row r="104" spans="1:8" hidden="1" x14ac:dyDescent="0.25">
      <c r="A104" s="47">
        <f t="shared" si="4"/>
        <v>46050.888888888891</v>
      </c>
      <c r="B104" s="47">
        <f>Линия10[[#This Row],[Дата начала]]+Линия10[[#This Row],[Длительность]]</f>
        <v>46051.166666666672</v>
      </c>
      <c r="C104" s="28">
        <f t="shared" si="3"/>
        <v>0.27777777777777779</v>
      </c>
      <c r="D104" s="29">
        <v>450</v>
      </c>
      <c r="E104" s="29" t="s">
        <v>443</v>
      </c>
      <c r="F104" s="29">
        <v>3000</v>
      </c>
      <c r="G104" s="54">
        <v>432</v>
      </c>
      <c r="H104" s="48">
        <f>IFERROR(Линия10[[#This Row],[Кол-во]]/Линия10[[#This Row],[Шт. в поддоне]], "")</f>
        <v>6.9444444444444446</v>
      </c>
    </row>
    <row r="105" spans="1:8" hidden="1" x14ac:dyDescent="0.25">
      <c r="A105" s="47">
        <f t="shared" si="4"/>
        <v>46051.166666666672</v>
      </c>
      <c r="B105" s="47">
        <f>Линия10[[#This Row],[Дата начала]]+Линия10[[#This Row],[Длительность]]</f>
        <v>46051.208333333336</v>
      </c>
      <c r="C105" s="28">
        <f t="shared" si="3"/>
        <v>4.1666666666666664E-2</v>
      </c>
      <c r="D105" s="29"/>
      <c r="E105" s="29" t="s">
        <v>197</v>
      </c>
      <c r="F105" s="29"/>
      <c r="G105" s="29" t="str">
        <f>IF(Линия10[[#This Row],[Кол-во]]&lt;&gt;"", 384, "")</f>
        <v/>
      </c>
      <c r="H105" s="48" t="str">
        <f>IFERROR(Линия10[[#This Row],[Кол-во]]/Линия10[[#This Row],[Шт. в поддоне]], "")</f>
        <v/>
      </c>
    </row>
    <row r="106" spans="1:8" hidden="1" x14ac:dyDescent="0.25">
      <c r="A106" s="47">
        <f t="shared" si="4"/>
        <v>46051.208333333336</v>
      </c>
      <c r="B106" s="47">
        <f>Линия10[[#This Row],[Дата начала]]+Линия10[[#This Row],[Длительность]]</f>
        <v>46051.486111111117</v>
      </c>
      <c r="C106" s="28">
        <f t="shared" si="3"/>
        <v>0.27777777777777779</v>
      </c>
      <c r="D106" s="29">
        <v>450</v>
      </c>
      <c r="E106" s="29" t="s">
        <v>444</v>
      </c>
      <c r="F106" s="29">
        <v>3000</v>
      </c>
      <c r="G106" s="54">
        <v>432</v>
      </c>
      <c r="H106" s="48">
        <f>IFERROR(Линия10[[#This Row],[Кол-во]]/Линия10[[#This Row],[Шт. в поддоне]], "")</f>
        <v>6.9444444444444446</v>
      </c>
    </row>
    <row r="107" spans="1:8" hidden="1" x14ac:dyDescent="0.25">
      <c r="A107" s="47">
        <f t="shared" si="4"/>
        <v>46051.486111111117</v>
      </c>
      <c r="B107" s="47">
        <f>Линия10[[#This Row],[Дата начала]]+Линия10[[#This Row],[Длительность]]</f>
        <v>46051.527777777781</v>
      </c>
      <c r="C107" s="28">
        <f t="shared" si="3"/>
        <v>4.1666666666666664E-2</v>
      </c>
      <c r="D107" s="29"/>
      <c r="E107" s="29" t="s">
        <v>197</v>
      </c>
      <c r="F107" s="29"/>
      <c r="G107" s="29" t="str">
        <f>IF(Линия10[[#This Row],[Кол-во]]&lt;&gt;"", 384, "")</f>
        <v/>
      </c>
      <c r="H107" s="48" t="str">
        <f>IFERROR(Линия10[[#This Row],[Кол-во]]/Линия10[[#This Row],[Шт. в поддоне]], "")</f>
        <v/>
      </c>
    </row>
    <row r="108" spans="1:8" hidden="1" x14ac:dyDescent="0.25">
      <c r="A108" s="47">
        <f t="shared" si="4"/>
        <v>46051.527777777781</v>
      </c>
      <c r="B108" s="47">
        <f>Линия10[[#This Row],[Дата начала]]+Линия10[[#This Row],[Длительность]]</f>
        <v>46051.805555555562</v>
      </c>
      <c r="C108" s="28">
        <f t="shared" si="3"/>
        <v>0.27777777777777779</v>
      </c>
      <c r="D108" s="29">
        <v>450</v>
      </c>
      <c r="E108" s="29" t="s">
        <v>445</v>
      </c>
      <c r="F108" s="29">
        <v>3000</v>
      </c>
      <c r="G108" s="54">
        <v>432</v>
      </c>
      <c r="H108" s="48">
        <f>IFERROR(Линия10[[#This Row],[Кол-во]]/Линия10[[#This Row],[Шт. в поддоне]], "")</f>
        <v>6.9444444444444446</v>
      </c>
    </row>
    <row r="109" spans="1:8" hidden="1" x14ac:dyDescent="0.25">
      <c r="A109" s="47">
        <f t="shared" si="4"/>
        <v>46051.805555555562</v>
      </c>
      <c r="B109" s="47">
        <f>Линия10[[#This Row],[Дата начала]]+Линия10[[#This Row],[Длительность]]</f>
        <v>46051.847222222226</v>
      </c>
      <c r="C109" s="28">
        <f t="shared" si="3"/>
        <v>4.1666666666666664E-2</v>
      </c>
      <c r="D109" s="29"/>
      <c r="E109" s="29" t="s">
        <v>197</v>
      </c>
      <c r="F109" s="29"/>
      <c r="G109" s="29" t="str">
        <f>IF(Линия10[[#This Row],[Кол-во]]&lt;&gt;"", 384, "")</f>
        <v/>
      </c>
      <c r="H109" s="48" t="str">
        <f>IFERROR(Линия10[[#This Row],[Кол-во]]/Линия10[[#This Row],[Шт. в поддоне]], "")</f>
        <v/>
      </c>
    </row>
    <row r="110" spans="1:8" hidden="1" x14ac:dyDescent="0.25">
      <c r="A110" s="47">
        <f t="shared" si="4"/>
        <v>46051.847222222226</v>
      </c>
      <c r="B110" s="47">
        <f>Линия10[[#This Row],[Дата начала]]+Линия10[[#This Row],[Длительность]]</f>
        <v>46052.125000000007</v>
      </c>
      <c r="C110" s="28">
        <f t="shared" si="3"/>
        <v>0.27777777777777779</v>
      </c>
      <c r="D110" s="29">
        <v>450</v>
      </c>
      <c r="E110" s="29" t="s">
        <v>446</v>
      </c>
      <c r="F110" s="29">
        <v>3000</v>
      </c>
      <c r="G110" s="54">
        <v>432</v>
      </c>
      <c r="H110" s="48">
        <f>IFERROR(Линия10[[#This Row],[Кол-во]]/Линия10[[#This Row],[Шт. в поддоне]], "")</f>
        <v>6.9444444444444446</v>
      </c>
    </row>
    <row r="111" spans="1:8" hidden="1" x14ac:dyDescent="0.25">
      <c r="A111" s="47">
        <f t="shared" si="4"/>
        <v>46052.125000000007</v>
      </c>
      <c r="B111" s="47">
        <f>Линия10[[#This Row],[Дата начала]]+Линия10[[#This Row],[Длительность]]</f>
        <v>46052.187500000007</v>
      </c>
      <c r="C111" s="28">
        <f t="shared" si="3"/>
        <v>6.25E-2</v>
      </c>
      <c r="D111" s="29"/>
      <c r="E111" s="29" t="s">
        <v>153</v>
      </c>
      <c r="F111" s="29"/>
      <c r="G111" s="29"/>
      <c r="H111" s="48" t="str">
        <f>IFERROR(Линия10[[#This Row],[Кол-во]]/Линия10[[#This Row],[Шт. в поддоне]], "")</f>
        <v/>
      </c>
    </row>
    <row r="112" spans="1:8" hidden="1" x14ac:dyDescent="0.25">
      <c r="A112" s="47">
        <f t="shared" si="4"/>
        <v>46052.187500000007</v>
      </c>
      <c r="B112" s="47">
        <f>Линия10[[#This Row],[Дата начала]]+Линия10[[#This Row],[Длительность]]</f>
        <v>46052.465277777788</v>
      </c>
      <c r="C112" s="28">
        <f t="shared" si="3"/>
        <v>0.27777777777777779</v>
      </c>
      <c r="D112" s="29">
        <v>450</v>
      </c>
      <c r="E112" s="29" t="s">
        <v>447</v>
      </c>
      <c r="F112" s="29">
        <v>3000</v>
      </c>
      <c r="G112" s="54">
        <v>432</v>
      </c>
      <c r="H112" s="48">
        <f>IFERROR(Линия10[[#This Row],[Кол-во]]/Линия10[[#This Row],[Шт. в поддоне]], "")</f>
        <v>6.9444444444444446</v>
      </c>
    </row>
    <row r="113" spans="1:8" hidden="1" x14ac:dyDescent="0.25">
      <c r="A113" s="47">
        <f t="shared" si="4"/>
        <v>46052.465277777788</v>
      </c>
      <c r="B113" s="47">
        <f>Линия10[[#This Row],[Дата начала]]+Линия10[[#This Row],[Длительность]]</f>
        <v>46052.506944444453</v>
      </c>
      <c r="C113" s="28">
        <f t="shared" si="3"/>
        <v>4.1666666666666664E-2</v>
      </c>
      <c r="D113" s="29"/>
      <c r="E113" s="29" t="s">
        <v>197</v>
      </c>
      <c r="F113" s="29"/>
      <c r="G113" s="29" t="str">
        <f>IF(Линия10[[#This Row],[Кол-во]]&lt;&gt;"", 384, "")</f>
        <v/>
      </c>
      <c r="H113" s="48" t="str">
        <f>IFERROR(Линия10[[#This Row],[Кол-во]]/Линия10[[#This Row],[Шт. в поддоне]], "")</f>
        <v/>
      </c>
    </row>
    <row r="114" spans="1:8" hidden="1" x14ac:dyDescent="0.25">
      <c r="A114" s="47">
        <f t="shared" si="4"/>
        <v>46052.506944444453</v>
      </c>
      <c r="B114" s="47">
        <f>Линия10[[#This Row],[Дата начала]]+Линия10[[#This Row],[Длительность]]</f>
        <v>46052.784722222234</v>
      </c>
      <c r="C114" s="28">
        <f t="shared" si="3"/>
        <v>0.27777777777777779</v>
      </c>
      <c r="D114" s="29">
        <v>450</v>
      </c>
      <c r="E114" s="29" t="s">
        <v>448</v>
      </c>
      <c r="F114" s="29">
        <v>3000</v>
      </c>
      <c r="G114" s="54">
        <v>432</v>
      </c>
      <c r="H114" s="48">
        <f>IFERROR(Линия10[[#This Row],[Кол-во]]/Линия10[[#This Row],[Шт. в поддоне]], "")</f>
        <v>6.9444444444444446</v>
      </c>
    </row>
    <row r="115" spans="1:8" hidden="1" x14ac:dyDescent="0.25">
      <c r="A115" s="47">
        <f t="shared" si="4"/>
        <v>46052.784722222234</v>
      </c>
      <c r="B115" s="47">
        <f>Линия10[[#This Row],[Дата начала]]+Линия10[[#This Row],[Длительность]]</f>
        <v>46052.826388888898</v>
      </c>
      <c r="C115" s="28">
        <f t="shared" si="3"/>
        <v>4.1666666666666664E-2</v>
      </c>
      <c r="D115" s="29"/>
      <c r="E115" s="29" t="s">
        <v>197</v>
      </c>
      <c r="F115" s="29"/>
      <c r="G115" s="29" t="str">
        <f>IF(Линия10[[#This Row],[Кол-во]]&lt;&gt;"", 384, "")</f>
        <v/>
      </c>
      <c r="H115" s="48" t="str">
        <f>IFERROR(Линия10[[#This Row],[Кол-во]]/Линия10[[#This Row],[Шт. в поддоне]], "")</f>
        <v/>
      </c>
    </row>
    <row r="116" spans="1:8" hidden="1" x14ac:dyDescent="0.25">
      <c r="A116" s="47">
        <f t="shared" si="4"/>
        <v>46052.826388888898</v>
      </c>
      <c r="B116" s="47">
        <f>Линия10[[#This Row],[Дата начала]]+Линия10[[#This Row],[Длительность]]</f>
        <v>46053.104166666679</v>
      </c>
      <c r="C116" s="28">
        <f t="shared" si="3"/>
        <v>0.27777777777777779</v>
      </c>
      <c r="D116" s="29">
        <v>450</v>
      </c>
      <c r="E116" s="29" t="s">
        <v>449</v>
      </c>
      <c r="F116" s="29">
        <v>3000</v>
      </c>
      <c r="G116" s="54">
        <v>432</v>
      </c>
      <c r="H116" s="48">
        <f>IFERROR(Линия10[[#This Row],[Кол-во]]/Линия10[[#This Row],[Шт. в поддоне]], "")</f>
        <v>6.9444444444444446</v>
      </c>
    </row>
    <row r="117" spans="1:8" hidden="1" x14ac:dyDescent="0.25">
      <c r="A117" s="47">
        <f t="shared" si="4"/>
        <v>46053.104166666679</v>
      </c>
      <c r="B117" s="47">
        <f>Линия10[[#This Row],[Дата начала]]+Линия10[[#This Row],[Длительность]]</f>
        <v>46053.145833333343</v>
      </c>
      <c r="C117" s="28">
        <f t="shared" si="3"/>
        <v>4.1666666666666664E-2</v>
      </c>
      <c r="D117" s="29"/>
      <c r="E117" s="29" t="s">
        <v>197</v>
      </c>
      <c r="F117" s="29"/>
      <c r="G117" s="29" t="str">
        <f>IF(Линия10[[#This Row],[Кол-во]]&lt;&gt;"", 384, "")</f>
        <v/>
      </c>
      <c r="H117" s="48" t="str">
        <f>IFERROR(Линия10[[#This Row],[Кол-во]]/Линия10[[#This Row],[Шт. в поддоне]], "")</f>
        <v/>
      </c>
    </row>
    <row r="118" spans="1:8" hidden="1" x14ac:dyDescent="0.25">
      <c r="A118" s="47">
        <f t="shared" si="4"/>
        <v>46053.145833333343</v>
      </c>
      <c r="B118" s="47">
        <f>Линия10[[#This Row],[Дата начала]]+Линия10[[#This Row],[Длительность]]</f>
        <v>46053.423611111124</v>
      </c>
      <c r="C118" s="28">
        <f t="shared" si="3"/>
        <v>0.27777777777777779</v>
      </c>
      <c r="D118" s="29">
        <v>450</v>
      </c>
      <c r="E118" s="29" t="s">
        <v>450</v>
      </c>
      <c r="F118" s="29">
        <v>3000</v>
      </c>
      <c r="G118" s="54">
        <v>432</v>
      </c>
      <c r="H118" s="48">
        <f>IFERROR(Линия10[[#This Row],[Кол-во]]/Линия10[[#This Row],[Шт. в поддоне]], "")</f>
        <v>6.9444444444444446</v>
      </c>
    </row>
    <row r="119" spans="1:8" hidden="1" x14ac:dyDescent="0.25">
      <c r="A119" s="47">
        <f t="shared" si="4"/>
        <v>46053.423611111124</v>
      </c>
      <c r="B119" s="47">
        <f>Линия10[[#This Row],[Дата начала]]+Линия10[[#This Row],[Длительность]]</f>
        <v>46053.465277777788</v>
      </c>
      <c r="C119" s="28">
        <f t="shared" si="3"/>
        <v>4.1666666666666664E-2</v>
      </c>
      <c r="D119" s="29"/>
      <c r="E119" s="29" t="s">
        <v>197</v>
      </c>
      <c r="F119" s="29"/>
      <c r="G119" s="29" t="str">
        <f>IF(Линия10[[#This Row],[Кол-во]]&lt;&gt;"", 384, "")</f>
        <v/>
      </c>
      <c r="H119" s="48" t="str">
        <f>IFERROR(Линия10[[#This Row],[Кол-во]]/Линия10[[#This Row],[Шт. в поддоне]], "")</f>
        <v/>
      </c>
    </row>
    <row r="120" spans="1:8" hidden="1" x14ac:dyDescent="0.25">
      <c r="A120" s="47">
        <f t="shared" si="4"/>
        <v>46053.465277777788</v>
      </c>
      <c r="B120" s="47">
        <f>Линия10[[#This Row],[Дата начала]]+Линия10[[#This Row],[Длительность]]</f>
        <v>46053.743055555569</v>
      </c>
      <c r="C120" s="28">
        <f t="shared" si="3"/>
        <v>0.27777777777777779</v>
      </c>
      <c r="D120" s="29">
        <v>450</v>
      </c>
      <c r="E120" s="29" t="s">
        <v>451</v>
      </c>
      <c r="F120" s="29">
        <v>3000</v>
      </c>
      <c r="G120" s="54">
        <v>432</v>
      </c>
      <c r="H120" s="48">
        <f>IFERROR(Линия10[[#This Row],[Кол-во]]/Линия10[[#This Row],[Шт. в поддоне]], "")</f>
        <v>6.9444444444444446</v>
      </c>
    </row>
    <row r="121" spans="1:8" hidden="1" x14ac:dyDescent="0.25">
      <c r="A121" s="47">
        <f t="shared" si="4"/>
        <v>46053.743055555569</v>
      </c>
      <c r="B121" s="47">
        <f>Линия10[[#This Row],[Дата начала]]+Линия10[[#This Row],[Длительность]]</f>
        <v>46053.784722222234</v>
      </c>
      <c r="C121" s="28">
        <f t="shared" si="3"/>
        <v>4.1666666666666664E-2</v>
      </c>
      <c r="D121" s="29"/>
      <c r="E121" s="29" t="s">
        <v>197</v>
      </c>
      <c r="F121" s="29"/>
      <c r="G121" s="29" t="str">
        <f>IF(Линия10[[#This Row],[Кол-во]]&lt;&gt;"", 384, "")</f>
        <v/>
      </c>
      <c r="H121" s="48" t="str">
        <f>IFERROR(Линия10[[#This Row],[Кол-во]]/Линия10[[#This Row],[Шт. в поддоне]], "")</f>
        <v/>
      </c>
    </row>
    <row r="122" spans="1:8" hidden="1" x14ac:dyDescent="0.25">
      <c r="A122" s="47">
        <f t="shared" si="4"/>
        <v>46053.784722222234</v>
      </c>
      <c r="B122" s="47">
        <f>Линия10[[#This Row],[Дата начала]]+Линия10[[#This Row],[Длительность]]</f>
        <v>46054.062500000015</v>
      </c>
      <c r="C122" s="28">
        <f t="shared" si="3"/>
        <v>0.27777777777777779</v>
      </c>
      <c r="D122" s="34">
        <v>450</v>
      </c>
      <c r="E122" s="34" t="s">
        <v>452</v>
      </c>
      <c r="F122" s="34">
        <v>3000</v>
      </c>
      <c r="G122" s="54">
        <v>432</v>
      </c>
      <c r="H122" s="46">
        <f>IFERROR(Линия10[[#This Row],[Кол-во]]/Линия10[[#This Row],[Шт. в поддоне]], "")</f>
        <v>6.9444444444444446</v>
      </c>
    </row>
    <row r="123" spans="1:8" hidden="1" x14ac:dyDescent="0.25">
      <c r="A123" s="47">
        <f t="shared" si="4"/>
        <v>46054.062500000015</v>
      </c>
      <c r="B123" s="47">
        <f>Линия10[[#This Row],[Дата начала]]+Линия10[[#This Row],[Длительность]]</f>
        <v>46054.104166666679</v>
      </c>
      <c r="C123" s="28">
        <f t="shared" si="3"/>
        <v>4.1666666666666664E-2</v>
      </c>
      <c r="D123" s="29"/>
      <c r="E123" s="29" t="s">
        <v>197</v>
      </c>
      <c r="F123" s="29"/>
      <c r="G123" s="29"/>
      <c r="H123" s="48" t="str">
        <f>IFERROR(Линия10[[#This Row],[Кол-во]]/Линия10[[#This Row],[Шт. в поддоне]], "")</f>
        <v/>
      </c>
    </row>
    <row r="124" spans="1:8" hidden="1" x14ac:dyDescent="0.25">
      <c r="A124" s="47">
        <f t="shared" si="4"/>
        <v>46054.104166666679</v>
      </c>
      <c r="B124" s="47">
        <f>Линия10[[#This Row],[Дата начала]]+Линия10[[#This Row],[Длительность]]</f>
        <v>46054.38194444446</v>
      </c>
      <c r="C124" s="28">
        <f t="shared" si="3"/>
        <v>0.27777777777777779</v>
      </c>
      <c r="D124" s="29">
        <v>450</v>
      </c>
      <c r="E124" s="29" t="s">
        <v>453</v>
      </c>
      <c r="F124" s="29">
        <v>3000</v>
      </c>
      <c r="G124" s="54">
        <v>432</v>
      </c>
      <c r="H124" s="48">
        <f>IFERROR(Линия10[[#This Row],[Кол-во]]/Линия10[[#This Row],[Шт. в поддоне]], "")</f>
        <v>6.9444444444444446</v>
      </c>
    </row>
    <row r="125" spans="1:8" hidden="1" x14ac:dyDescent="0.25">
      <c r="A125" s="47">
        <f t="shared" si="4"/>
        <v>46054.38194444446</v>
      </c>
      <c r="B125" s="47">
        <f>Линия10[[#This Row],[Дата начала]]+Линия10[[#This Row],[Длительность]]</f>
        <v>46054.44444444446</v>
      </c>
      <c r="C125" s="28">
        <f t="shared" si="3"/>
        <v>6.25E-2</v>
      </c>
      <c r="D125" s="29"/>
      <c r="E125" s="29" t="s">
        <v>153</v>
      </c>
      <c r="F125" s="29"/>
      <c r="G125" s="29" t="str">
        <f>IF(Линия10[[#This Row],[Кол-во]]&lt;&gt;"", 384, "")</f>
        <v/>
      </c>
      <c r="H125" s="48" t="str">
        <f>IFERROR(Линия10[[#This Row],[Кол-во]]/Линия10[[#This Row],[Шт. в поддоне]], "")</f>
        <v/>
      </c>
    </row>
    <row r="126" spans="1:8" hidden="1" x14ac:dyDescent="0.25">
      <c r="A126" s="47">
        <f t="shared" si="4"/>
        <v>46054.44444444446</v>
      </c>
      <c r="B126" s="47">
        <f>Линия10[[#This Row],[Дата начала]]+Линия10[[#This Row],[Длительность]]</f>
        <v>46054.722222222241</v>
      </c>
      <c r="C126" s="28">
        <f t="shared" si="3"/>
        <v>0.27777777777777779</v>
      </c>
      <c r="D126" s="29">
        <v>450</v>
      </c>
      <c r="E126" s="29" t="s">
        <v>454</v>
      </c>
      <c r="F126" s="29">
        <v>3000</v>
      </c>
      <c r="G126" s="54">
        <v>432</v>
      </c>
      <c r="H126" s="48">
        <f>IFERROR(Линия10[[#This Row],[Кол-во]]/Линия10[[#This Row],[Шт. в поддоне]], "")</f>
        <v>6.9444444444444446</v>
      </c>
    </row>
    <row r="127" spans="1:8" hidden="1" x14ac:dyDescent="0.25">
      <c r="A127" s="47">
        <f t="shared" si="4"/>
        <v>46054.722222222241</v>
      </c>
      <c r="B127" s="47">
        <f>Линия10[[#This Row],[Дата начала]]+Линия10[[#This Row],[Длительность]]</f>
        <v>46054.763888888905</v>
      </c>
      <c r="C127" s="28">
        <f t="shared" si="3"/>
        <v>4.1666666666666664E-2</v>
      </c>
      <c r="D127" s="29"/>
      <c r="E127" s="29" t="s">
        <v>197</v>
      </c>
      <c r="F127" s="29"/>
      <c r="G127" s="29" t="str">
        <f>IF(Линия10[[#This Row],[Кол-во]]&lt;&gt;"", 384, "")</f>
        <v/>
      </c>
      <c r="H127" s="48" t="str">
        <f>IFERROR(Линия10[[#This Row],[Кол-во]]/Линия10[[#This Row],[Шт. в поддоне]], "")</f>
        <v/>
      </c>
    </row>
    <row r="128" spans="1:8" hidden="1" x14ac:dyDescent="0.25">
      <c r="A128" s="47">
        <f t="shared" si="4"/>
        <v>46054.763888888905</v>
      </c>
      <c r="B128" s="47">
        <f>Линия10[[#This Row],[Дата начала]]+Линия10[[#This Row],[Длительность]]</f>
        <v>46055.041666666686</v>
      </c>
      <c r="C128" s="28">
        <f t="shared" si="3"/>
        <v>0.27777777777777779</v>
      </c>
      <c r="D128" s="29">
        <v>450</v>
      </c>
      <c r="E128" s="29" t="s">
        <v>455</v>
      </c>
      <c r="F128" s="29">
        <v>3000</v>
      </c>
      <c r="G128" s="54">
        <v>432</v>
      </c>
      <c r="H128" s="46">
        <f>IFERROR(Линия10[[#This Row],[Кол-во]]/Линия10[[#This Row],[Шт. в поддоне]], "")</f>
        <v>6.9444444444444446</v>
      </c>
    </row>
    <row r="129" spans="1:8" hidden="1" x14ac:dyDescent="0.25">
      <c r="A129" s="47">
        <f t="shared" si="4"/>
        <v>46055.041666666686</v>
      </c>
      <c r="B129" s="47">
        <f>Линия10[[#This Row],[Дата начала]]+Линия10[[#This Row],[Длительность]]</f>
        <v>46055.08333333335</v>
      </c>
      <c r="C129" s="28">
        <f t="shared" si="3"/>
        <v>4.1666666666666664E-2</v>
      </c>
      <c r="D129" s="34"/>
      <c r="E129" s="34" t="s">
        <v>197</v>
      </c>
      <c r="F129" s="34"/>
      <c r="G129" s="29" t="str">
        <f>IF(Линия10[[#This Row],[Кол-во]]&lt;&gt;"", 384, "")</f>
        <v/>
      </c>
      <c r="H129" s="46" t="str">
        <f>IFERROR(Линия10[[#This Row],[Кол-во]]/Линия10[[#This Row],[Шт. в поддоне]], "")</f>
        <v/>
      </c>
    </row>
    <row r="130" spans="1:8" hidden="1" x14ac:dyDescent="0.25">
      <c r="A130" s="47">
        <v>46055.333333333336</v>
      </c>
      <c r="B130" s="47">
        <f>Линия10[[#This Row],[Дата начала]]+Линия10[[#This Row],[Длительность]]</f>
        <v>46055.611111111117</v>
      </c>
      <c r="C130" s="28">
        <f t="shared" si="3"/>
        <v>0.27777777777777779</v>
      </c>
      <c r="D130" s="29">
        <v>450</v>
      </c>
      <c r="E130" s="29" t="s">
        <v>456</v>
      </c>
      <c r="F130" s="29">
        <v>3000</v>
      </c>
      <c r="G130" s="54">
        <v>432</v>
      </c>
      <c r="H130" s="48">
        <f>IFERROR(Линия10[[#This Row],[Кол-во]]/Линия10[[#This Row],[Шт. в поддоне]], "")</f>
        <v>6.9444444444444446</v>
      </c>
    </row>
    <row r="131" spans="1:8" hidden="1" x14ac:dyDescent="0.25">
      <c r="A131" s="47">
        <f t="shared" si="4"/>
        <v>46055.611111111117</v>
      </c>
      <c r="B131" s="47">
        <f>Линия10[[#This Row],[Дата начала]]+Линия10[[#This Row],[Длительность]]</f>
        <v>46055.673611111117</v>
      </c>
      <c r="C131" s="28">
        <f t="shared" ref="C131:C134" si="5">IF(E131="Вытеснение",TIME(0,30,0),
IF(E131="Передача смены",TIME(0,20,0),
IF(E131="Запуск",TIME(0,10,0),
IF(E131="CIP 1",TIME(0,60,0),
IF(E131="CIP 2",TIME(0,90,0),
IF(E131="CIP 3",TIME(0,210,0),
IF(AND(ISNUMBER(F131),ISNUMBER(D131),D131&gt;0),F131/D131/24,"Ошибка")))))))</f>
        <v>6.25E-2</v>
      </c>
      <c r="D131" s="29"/>
      <c r="E131" s="29" t="s">
        <v>153</v>
      </c>
      <c r="F131" s="29"/>
      <c r="G131" s="29"/>
      <c r="H131" s="48" t="str">
        <f>IFERROR(Линия10[[#This Row],[Кол-во]]/Линия10[[#This Row],[Шт. в поддоне]], "")</f>
        <v/>
      </c>
    </row>
    <row r="132" spans="1:8" hidden="1" x14ac:dyDescent="0.25">
      <c r="A132" s="47">
        <f t="shared" si="4"/>
        <v>46055.673611111117</v>
      </c>
      <c r="B132" s="47">
        <f>Линия10[[#This Row],[Дата начала]]+Линия10[[#This Row],[Длительность]]</f>
        <v>46055.951388888898</v>
      </c>
      <c r="C132" s="28">
        <f t="shared" si="5"/>
        <v>0.27777777777777779</v>
      </c>
      <c r="D132" s="29">
        <v>450</v>
      </c>
      <c r="E132" s="29" t="s">
        <v>457</v>
      </c>
      <c r="F132" s="29">
        <v>3000</v>
      </c>
      <c r="G132" s="54">
        <v>432</v>
      </c>
      <c r="H132" s="48">
        <f>IFERROR(Линия10[[#This Row],[Кол-во]]/Линия10[[#This Row],[Шт. в поддоне]], "")</f>
        <v>6.9444444444444446</v>
      </c>
    </row>
    <row r="133" spans="1:8" hidden="1" x14ac:dyDescent="0.25">
      <c r="A133" s="47">
        <f t="shared" si="4"/>
        <v>46055.951388888898</v>
      </c>
      <c r="B133" s="47">
        <f>Линия10[[#This Row],[Дата начала]]+Линия10[[#This Row],[Длительность]]</f>
        <v>46055.993055555562</v>
      </c>
      <c r="C133" s="28">
        <f t="shared" si="5"/>
        <v>4.1666666666666664E-2</v>
      </c>
      <c r="D133" s="29"/>
      <c r="E133" s="29" t="s">
        <v>197</v>
      </c>
      <c r="F133" s="29"/>
      <c r="G133" s="29" t="str">
        <f>IF(Линия10[[#This Row],[Кол-во]]&lt;&gt;"", 384, "")</f>
        <v/>
      </c>
      <c r="H133" s="48" t="str">
        <f>IFERROR(Линия10[[#This Row],[Кол-во]]/Линия10[[#This Row],[Шт. в поддоне]], "")</f>
        <v/>
      </c>
    </row>
    <row r="134" spans="1:8" hidden="1" x14ac:dyDescent="0.25">
      <c r="A134" s="47">
        <v>46056.083333333336</v>
      </c>
      <c r="B134" s="47">
        <f>Линия10[[#This Row],[Дата начала]]+Линия10[[#This Row],[Длительность]]</f>
        <v>46056.5</v>
      </c>
      <c r="C134" s="28">
        <f t="shared" si="5"/>
        <v>0.41666666666666669</v>
      </c>
      <c r="D134" s="29">
        <v>450</v>
      </c>
      <c r="E134" s="29" t="s">
        <v>458</v>
      </c>
      <c r="F134" s="29">
        <v>4500</v>
      </c>
      <c r="G134" s="54">
        <v>432</v>
      </c>
      <c r="H134" s="48">
        <f>IFERROR(Линия10[[#This Row],[Кол-во]]/Линия10[[#This Row],[Шт. в поддоне]], "")</f>
        <v>10.416666666666666</v>
      </c>
    </row>
    <row r="135" spans="1:8" hidden="1" x14ac:dyDescent="0.25">
      <c r="A135" s="47">
        <f>B134</f>
        <v>46056.5</v>
      </c>
      <c r="B135" s="47">
        <f>Линия10[[#This Row],[Дата начала]]+Линия10[[#This Row],[Длительность]]</f>
        <v>46056.541666666664</v>
      </c>
      <c r="C135" s="28">
        <f>IF(E135="Вытеснение",TIME(0,30,0),
IF(E135="Передача смены",TIME(0,20,0),
IF(E135="Запуск",TIME(0,10,0),
IF(E135="CIP 1",TIME(0,60,0),
IF(E135="CIP 2",TIME(0,90,0),
IF(E135="CIP 3",TIME(0,210,0),
IF(AND(ISNUMBER(F135),ISNUMBER(D135),D135&gt;0),F135/D135/24,"Ошибка")))))))</f>
        <v>4.1666666666666664E-2</v>
      </c>
      <c r="D135" s="29"/>
      <c r="E135" s="29" t="s">
        <v>197</v>
      </c>
      <c r="F135" s="29"/>
      <c r="G135" s="29" t="str">
        <f>IF(Линия10[[#This Row],[Кол-во]]&lt;&gt;"", 384, "")</f>
        <v/>
      </c>
      <c r="H135" s="48" t="str">
        <f>IFERROR(Линия10[[#This Row],[Кол-во]]/Линия10[[#This Row],[Шт. в поддоне]], "")</f>
        <v/>
      </c>
    </row>
    <row r="136" spans="1:8" hidden="1" x14ac:dyDescent="0.25">
      <c r="A136" s="47">
        <f t="shared" ref="A136:A141" si="6">B135</f>
        <v>46056.541666666664</v>
      </c>
      <c r="B136" s="47">
        <f>Линия10[[#This Row],[Дата начала]]+Линия10[[#This Row],[Длительность]]</f>
        <v>46056.958333333328</v>
      </c>
      <c r="C136" s="28">
        <f t="shared" ref="C136:C199" si="7">IF(E136="Вытеснение",TIME(0,30,0),
IF(E136="Передача смены",TIME(0,20,0),
IF(E136="Запуск",TIME(0,10,0),
IF(E136="CIP 1",TIME(0,60,0),
IF(E136="CIP 2",TIME(0,90,0),
IF(E136="CIP 3",TIME(0,210,0),
IF(AND(ISNUMBER(F136),ISNUMBER(D136),D136&gt;0),F136/D136/24,"Ошибка")))))))</f>
        <v>0.41666666666666669</v>
      </c>
      <c r="D136" s="29">
        <v>450</v>
      </c>
      <c r="E136" s="29" t="s">
        <v>459</v>
      </c>
      <c r="F136" s="29">
        <v>4500</v>
      </c>
      <c r="G136" s="54">
        <v>432</v>
      </c>
      <c r="H136" s="48">
        <f>IFERROR(Линия10[[#This Row],[Кол-во]]/Линия10[[#This Row],[Шт. в поддоне]], "")</f>
        <v>10.416666666666666</v>
      </c>
    </row>
    <row r="137" spans="1:8" hidden="1" x14ac:dyDescent="0.25">
      <c r="A137" s="47">
        <f t="shared" si="6"/>
        <v>46056.958333333328</v>
      </c>
      <c r="B137" s="47">
        <f>Линия10[[#This Row],[Дата начала]]+Линия10[[#This Row],[Длительность]]</f>
        <v>46056.999999999993</v>
      </c>
      <c r="C137" s="28">
        <f t="shared" si="7"/>
        <v>4.1666666666666664E-2</v>
      </c>
      <c r="D137" s="29"/>
      <c r="E137" s="29" t="s">
        <v>197</v>
      </c>
      <c r="F137" s="29"/>
      <c r="G137" s="29" t="str">
        <f>IF(Линия10[[#This Row],[Кол-во]]&lt;&gt;"", 384, "")</f>
        <v/>
      </c>
      <c r="H137" s="48" t="str">
        <f>IFERROR(Линия10[[#This Row],[Кол-во]]/Линия10[[#This Row],[Шт. в поддоне]], "")</f>
        <v/>
      </c>
    </row>
    <row r="138" spans="1:8" hidden="1" x14ac:dyDescent="0.25">
      <c r="A138" s="47">
        <f t="shared" si="6"/>
        <v>46056.999999999993</v>
      </c>
      <c r="B138" s="47">
        <f>Линия10[[#This Row],[Дата начала]]+Линия10[[#This Row],[Длительность]]</f>
        <v>46057.212962962956</v>
      </c>
      <c r="C138" s="28">
        <f t="shared" si="7"/>
        <v>0.21296296296296294</v>
      </c>
      <c r="D138" s="29">
        <v>450</v>
      </c>
      <c r="E138" s="29" t="s">
        <v>460</v>
      </c>
      <c r="F138" s="29">
        <v>2300</v>
      </c>
      <c r="G138" s="54">
        <v>432</v>
      </c>
      <c r="H138" s="48">
        <f>IFERROR(Линия10[[#This Row],[Кол-во]]/Линия10[[#This Row],[Шт. в поддоне]], "")</f>
        <v>5.3240740740740744</v>
      </c>
    </row>
    <row r="139" spans="1:8" hidden="1" x14ac:dyDescent="0.25">
      <c r="A139" s="47">
        <f t="shared" si="6"/>
        <v>46057.212962962956</v>
      </c>
      <c r="B139" s="47">
        <f>Линия10[[#This Row],[Дата начала]]+Линия10[[#This Row],[Длительность]]</f>
        <v>46057.25462962962</v>
      </c>
      <c r="C139" s="28">
        <f t="shared" si="7"/>
        <v>4.1666666666666664E-2</v>
      </c>
      <c r="D139" s="29"/>
      <c r="E139" s="29" t="s">
        <v>197</v>
      </c>
      <c r="F139" s="29"/>
      <c r="G139" s="29"/>
      <c r="H139" s="48" t="str">
        <f>IFERROR(Линия10[[#This Row],[Кол-во]]/Линия10[[#This Row],[Шт. в поддоне]], "")</f>
        <v/>
      </c>
    </row>
    <row r="140" spans="1:8" hidden="1" x14ac:dyDescent="0.25">
      <c r="A140" s="47">
        <f t="shared" si="6"/>
        <v>46057.25462962962</v>
      </c>
      <c r="B140" s="47">
        <f>Линия10[[#This Row],[Дата начала]]+Линия10[[#This Row],[Длительность]]</f>
        <v>46057.356481481474</v>
      </c>
      <c r="C140" s="28">
        <f t="shared" si="7"/>
        <v>0.10185185185185186</v>
      </c>
      <c r="D140" s="29">
        <v>450</v>
      </c>
      <c r="E140" s="29" t="s">
        <v>461</v>
      </c>
      <c r="F140" s="29">
        <v>1100</v>
      </c>
      <c r="G140" s="54">
        <v>432</v>
      </c>
      <c r="H140" s="48">
        <f>IFERROR(Линия10[[#This Row],[Кол-во]]/Линия10[[#This Row],[Шт. в поддоне]], "")</f>
        <v>2.5462962962962963</v>
      </c>
    </row>
    <row r="141" spans="1:8" hidden="1" x14ac:dyDescent="0.25">
      <c r="A141" s="47">
        <f t="shared" si="6"/>
        <v>46057.356481481474</v>
      </c>
      <c r="B141" s="47">
        <f>Линия10[[#This Row],[Дата начала]]+Линия10[[#This Row],[Длительность]]</f>
        <v>46057.398148148139</v>
      </c>
      <c r="C141" s="28">
        <f t="shared" si="7"/>
        <v>4.1666666666666664E-2</v>
      </c>
      <c r="D141" s="29"/>
      <c r="E141" s="29" t="s">
        <v>197</v>
      </c>
      <c r="F141" s="29"/>
      <c r="G141" s="29" t="str">
        <f>IF(Линия10[[#This Row],[Кол-во]]&lt;&gt;"", 384, "")</f>
        <v/>
      </c>
      <c r="H141" s="48" t="str">
        <f>IFERROR(Линия10[[#This Row],[Кол-во]]/Линия10[[#This Row],[Шт. в поддоне]], "")</f>
        <v/>
      </c>
    </row>
    <row r="142" spans="1:8" hidden="1" x14ac:dyDescent="0.25">
      <c r="A142" s="47">
        <v>46059.875</v>
      </c>
      <c r="B142" s="47">
        <f>Линия10[[#This Row],[Дата начала]]+Линия10[[#This Row],[Длительность]]</f>
        <v>46060.300925925927</v>
      </c>
      <c r="C142" s="28">
        <f t="shared" si="7"/>
        <v>0.42592592592592587</v>
      </c>
      <c r="D142" s="29">
        <v>450</v>
      </c>
      <c r="E142" s="29" t="s">
        <v>462</v>
      </c>
      <c r="F142" s="29">
        <v>4600</v>
      </c>
      <c r="G142" s="54">
        <v>432</v>
      </c>
      <c r="H142" s="48">
        <f>IFERROR(Линия10[[#This Row],[Кол-во]]/Линия10[[#This Row],[Шт. в поддоне]], "")</f>
        <v>10.648148148148149</v>
      </c>
    </row>
    <row r="143" spans="1:8" hidden="1" x14ac:dyDescent="0.25">
      <c r="A143" s="47">
        <f t="shared" ref="A143:A161" si="8">B142</f>
        <v>46060.300925925927</v>
      </c>
      <c r="B143" s="47">
        <f>Линия10[[#This Row],[Дата начала]]+Линия10[[#This Row],[Длительность]]</f>
        <v>46060.363425925927</v>
      </c>
      <c r="C143" s="28">
        <f t="shared" si="7"/>
        <v>6.25E-2</v>
      </c>
      <c r="D143" s="29"/>
      <c r="E143" s="29" t="s">
        <v>153</v>
      </c>
      <c r="F143" s="29"/>
      <c r="G143" s="29" t="str">
        <f>IF(Линия10[[#This Row],[Кол-во]]&lt;&gt;"", 384, "")</f>
        <v/>
      </c>
      <c r="H143" s="48" t="str">
        <f>IFERROR(Линия10[[#This Row],[Кол-во]]/Линия10[[#This Row],[Шт. в поддоне]], "")</f>
        <v/>
      </c>
    </row>
    <row r="144" spans="1:8" hidden="1" x14ac:dyDescent="0.25">
      <c r="A144" s="47">
        <f t="shared" si="8"/>
        <v>46060.363425925927</v>
      </c>
      <c r="B144" s="47">
        <f>Линия10[[#This Row],[Дата начала]]+Линия10[[#This Row],[Длительность]]</f>
        <v>46060.576388888891</v>
      </c>
      <c r="C144" s="28">
        <f t="shared" si="7"/>
        <v>0.21296296296296294</v>
      </c>
      <c r="D144" s="29">
        <v>450</v>
      </c>
      <c r="E144" s="29" t="s">
        <v>463</v>
      </c>
      <c r="F144" s="29">
        <v>2300</v>
      </c>
      <c r="G144" s="54">
        <v>432</v>
      </c>
      <c r="H144" s="48">
        <f>IFERROR(Линия10[[#This Row],[Кол-во]]/Линия10[[#This Row],[Шт. в поддоне]], "")</f>
        <v>5.3240740740740744</v>
      </c>
    </row>
    <row r="145" spans="1:8" hidden="1" x14ac:dyDescent="0.25">
      <c r="A145" s="47">
        <v>46059.875</v>
      </c>
      <c r="B145" s="47">
        <f>Линия10[[#This Row],[Дата начала]]+Линия10[[#This Row],[Длительность]]</f>
        <v>46059.916666666664</v>
      </c>
      <c r="C145" s="28">
        <f t="shared" si="7"/>
        <v>4.1666666666666664E-2</v>
      </c>
      <c r="D145" s="29"/>
      <c r="E145" s="29" t="s">
        <v>197</v>
      </c>
      <c r="F145" s="29"/>
      <c r="G145" s="29" t="str">
        <f>IF(Линия10[[#This Row],[Кол-во]]&lt;&gt;"", 384, "")</f>
        <v/>
      </c>
      <c r="H145" s="48" t="str">
        <f>IFERROR(Линия10[[#This Row],[Кол-во]]/Линия10[[#This Row],[Шт. в поддоне]], "")</f>
        <v/>
      </c>
    </row>
    <row r="146" spans="1:8" hidden="1" x14ac:dyDescent="0.25">
      <c r="A146" s="47">
        <f t="shared" si="8"/>
        <v>46059.916666666664</v>
      </c>
      <c r="B146" s="47">
        <f>Линия10[[#This Row],[Дата начала]]+Линия10[[#This Row],[Длительность]]</f>
        <v>46060.129629629628</v>
      </c>
      <c r="C146" s="28">
        <f t="shared" si="7"/>
        <v>0.21296296296296294</v>
      </c>
      <c r="D146" s="29">
        <v>450</v>
      </c>
      <c r="E146" s="29" t="s">
        <v>464</v>
      </c>
      <c r="F146" s="29">
        <v>2300</v>
      </c>
      <c r="G146" s="54">
        <v>432</v>
      </c>
      <c r="H146" s="48">
        <f>IFERROR(Линия10[[#This Row],[Кол-во]]/Линия10[[#This Row],[Шт. в поддоне]], "")</f>
        <v>5.3240740740740744</v>
      </c>
    </row>
    <row r="147" spans="1:8" hidden="1" x14ac:dyDescent="0.25">
      <c r="A147" s="47">
        <f t="shared" si="8"/>
        <v>46060.129629629628</v>
      </c>
      <c r="B147" s="47">
        <f>Линия10[[#This Row],[Дата начала]]+Линия10[[#This Row],[Длительность]]</f>
        <v>46060.171296296292</v>
      </c>
      <c r="C147" s="28">
        <f t="shared" si="7"/>
        <v>4.1666666666666664E-2</v>
      </c>
      <c r="D147" s="29"/>
      <c r="E147" s="29" t="s">
        <v>197</v>
      </c>
      <c r="F147" s="29"/>
      <c r="G147" s="29"/>
      <c r="H147" s="48" t="str">
        <f>IFERROR(Линия10[[#This Row],[Кол-во]]/Линия10[[#This Row],[Шт. в поддоне]], "")</f>
        <v/>
      </c>
    </row>
    <row r="148" spans="1:8" hidden="1" x14ac:dyDescent="0.25">
      <c r="A148" s="47">
        <f t="shared" si="8"/>
        <v>46060.171296296292</v>
      </c>
      <c r="B148" s="47">
        <f>Линия10[[#This Row],[Дата начала]]+Линия10[[#This Row],[Длительность]]</f>
        <v>46060.449074074073</v>
      </c>
      <c r="C148" s="28">
        <f t="shared" si="7"/>
        <v>0.27777777777777779</v>
      </c>
      <c r="D148" s="29">
        <v>450</v>
      </c>
      <c r="E148" s="29" t="s">
        <v>465</v>
      </c>
      <c r="F148" s="29">
        <v>3000</v>
      </c>
      <c r="G148" s="54">
        <v>432</v>
      </c>
      <c r="H148" s="48">
        <f>IFERROR(Линия10[[#This Row],[Кол-во]]/Линия10[[#This Row],[Шт. в поддоне]], "")</f>
        <v>6.9444444444444446</v>
      </c>
    </row>
    <row r="149" spans="1:8" hidden="1" x14ac:dyDescent="0.25">
      <c r="A149" s="47">
        <f t="shared" si="8"/>
        <v>46060.449074074073</v>
      </c>
      <c r="B149" s="47">
        <f>Линия10[[#This Row],[Дата начала]]+Линия10[[#This Row],[Длительность]]</f>
        <v>46060.490740740737</v>
      </c>
      <c r="C149" s="28">
        <f t="shared" si="7"/>
        <v>4.1666666666666664E-2</v>
      </c>
      <c r="D149" s="29"/>
      <c r="E149" s="29" t="s">
        <v>197</v>
      </c>
      <c r="F149" s="29"/>
      <c r="G149" s="29" t="str">
        <f>IF(Линия10[[#This Row],[Кол-во]]&lt;&gt;"", 384, "")</f>
        <v/>
      </c>
      <c r="H149" s="48" t="str">
        <f>IFERROR(Линия10[[#This Row],[Кол-во]]/Линия10[[#This Row],[Шт. в поддоне]], "")</f>
        <v/>
      </c>
    </row>
    <row r="150" spans="1:8" hidden="1" x14ac:dyDescent="0.25">
      <c r="A150" s="47">
        <f t="shared" si="8"/>
        <v>46060.490740740737</v>
      </c>
      <c r="B150" s="47">
        <f>Линия10[[#This Row],[Дата начала]]+Линия10[[#This Row],[Длительность]]</f>
        <v>46060.907407407401</v>
      </c>
      <c r="C150" s="28">
        <f t="shared" si="7"/>
        <v>0.41666666666666669</v>
      </c>
      <c r="D150" s="29">
        <v>450</v>
      </c>
      <c r="E150" s="29" t="s">
        <v>466</v>
      </c>
      <c r="F150" s="29">
        <v>4500</v>
      </c>
      <c r="G150" s="54">
        <v>432</v>
      </c>
      <c r="H150" s="48">
        <f>IFERROR(Линия10[[#This Row],[Кол-во]]/Линия10[[#This Row],[Шт. в поддоне]], "")</f>
        <v>10.416666666666666</v>
      </c>
    </row>
    <row r="151" spans="1:8" hidden="1" x14ac:dyDescent="0.25">
      <c r="A151" s="47">
        <f t="shared" si="8"/>
        <v>46060.907407407401</v>
      </c>
      <c r="B151" s="47">
        <f>Линия10[[#This Row],[Дата начала]]+Линия10[[#This Row],[Длительность]]</f>
        <v>46060.949074074066</v>
      </c>
      <c r="C151" s="28">
        <f t="shared" si="7"/>
        <v>4.1666666666666664E-2</v>
      </c>
      <c r="D151" s="29"/>
      <c r="E151" s="29" t="s">
        <v>197</v>
      </c>
      <c r="F151" s="29"/>
      <c r="G151" s="29"/>
      <c r="H151" s="48" t="str">
        <f>IFERROR(Линия10[[#This Row],[Кол-во]]/Линия10[[#This Row],[Шт. в поддоне]], "")</f>
        <v/>
      </c>
    </row>
    <row r="152" spans="1:8" hidden="1" x14ac:dyDescent="0.25">
      <c r="A152" s="47">
        <f t="shared" si="8"/>
        <v>46060.949074074066</v>
      </c>
      <c r="B152" s="47">
        <f>Линия10[[#This Row],[Дата начала]]+Линия10[[#This Row],[Длительность]]</f>
        <v>46061.50462962962</v>
      </c>
      <c r="C152" s="28">
        <f t="shared" si="7"/>
        <v>0.55555555555555558</v>
      </c>
      <c r="D152" s="29">
        <v>450</v>
      </c>
      <c r="E152" s="29" t="s">
        <v>467</v>
      </c>
      <c r="F152" s="29">
        <v>6000</v>
      </c>
      <c r="G152" s="54">
        <v>432</v>
      </c>
      <c r="H152" s="48">
        <f>IFERROR(Линия10[[#This Row],[Кол-во]]/Линия10[[#This Row],[Шт. в поддоне]], "")</f>
        <v>13.888888888888889</v>
      </c>
    </row>
    <row r="153" spans="1:8" hidden="1" x14ac:dyDescent="0.25">
      <c r="A153" s="47">
        <f t="shared" si="8"/>
        <v>46061.50462962962</v>
      </c>
      <c r="B153" s="47">
        <f>Линия10[[#This Row],[Дата начала]]+Линия10[[#This Row],[Длительность]]</f>
        <v>46061.56712962962</v>
      </c>
      <c r="C153" s="28">
        <f t="shared" si="7"/>
        <v>6.25E-2</v>
      </c>
      <c r="D153" s="29"/>
      <c r="E153" s="29" t="s">
        <v>153</v>
      </c>
      <c r="F153" s="29"/>
      <c r="G153" s="29"/>
      <c r="H153" s="48" t="str">
        <f>IFERROR(Линия10[[#This Row],[Кол-во]]/Линия10[[#This Row],[Шт. в поддоне]], "")</f>
        <v/>
      </c>
    </row>
    <row r="154" spans="1:8" hidden="1" x14ac:dyDescent="0.25">
      <c r="A154" s="47">
        <f t="shared" si="8"/>
        <v>46061.56712962962</v>
      </c>
      <c r="B154" s="47">
        <f>Линия10[[#This Row],[Дата начала]]+Линия10[[#This Row],[Длительность]]</f>
        <v>46061.983796296285</v>
      </c>
      <c r="C154" s="28">
        <f t="shared" si="7"/>
        <v>0.41666666666666669</v>
      </c>
      <c r="D154" s="29">
        <v>450</v>
      </c>
      <c r="E154" s="29" t="s">
        <v>468</v>
      </c>
      <c r="F154" s="29">
        <v>4500</v>
      </c>
      <c r="G154" s="54">
        <v>432</v>
      </c>
      <c r="H154" s="48">
        <f>IFERROR(Линия10[[#This Row],[Кол-во]]/Линия10[[#This Row],[Шт. в поддоне]], "")</f>
        <v>10.416666666666666</v>
      </c>
    </row>
    <row r="155" spans="1:8" hidden="1" x14ac:dyDescent="0.25">
      <c r="A155" s="47">
        <f t="shared" si="8"/>
        <v>46061.983796296285</v>
      </c>
      <c r="B155" s="47">
        <f>Линия10[[#This Row],[Дата начала]]+Линия10[[#This Row],[Длительность]]</f>
        <v>46062.025462962949</v>
      </c>
      <c r="C155" s="28">
        <f t="shared" si="7"/>
        <v>4.1666666666666664E-2</v>
      </c>
      <c r="D155" s="29"/>
      <c r="E155" s="29" t="s">
        <v>197</v>
      </c>
      <c r="F155" s="29"/>
      <c r="G155" s="29" t="str">
        <f>IF(Линия10[[#This Row],[Кол-во]]&lt;&gt;"", 384, "")</f>
        <v/>
      </c>
      <c r="H155" s="48" t="str">
        <f>IFERROR(Линия10[[#This Row],[Кол-во]]/Линия10[[#This Row],[Шт. в поддоне]], "")</f>
        <v/>
      </c>
    </row>
    <row r="156" spans="1:8" hidden="1" x14ac:dyDescent="0.25">
      <c r="A156" s="47">
        <v>46062.833333333336</v>
      </c>
      <c r="B156" s="47">
        <f>Линия10[[#This Row],[Дата начала]]+Линия10[[#This Row],[Длительность]]</f>
        <v>46063.111111111117</v>
      </c>
      <c r="C156" s="28">
        <f t="shared" si="7"/>
        <v>0.27777777777777779</v>
      </c>
      <c r="D156" s="29">
        <v>450</v>
      </c>
      <c r="E156" s="29" t="s">
        <v>469</v>
      </c>
      <c r="F156" s="29">
        <v>3000</v>
      </c>
      <c r="G156" s="54">
        <v>432</v>
      </c>
      <c r="H156" s="48">
        <f>IFERROR(Линия10[[#This Row],[Кол-во]]/Линия10[[#This Row],[Шт. в поддоне]], "")</f>
        <v>6.9444444444444446</v>
      </c>
    </row>
    <row r="157" spans="1:8" hidden="1" x14ac:dyDescent="0.25">
      <c r="A157" s="47">
        <f t="shared" si="8"/>
        <v>46063.111111111117</v>
      </c>
      <c r="B157" s="47">
        <f>Линия10[[#This Row],[Дата начала]]+Линия10[[#This Row],[Длительность]]</f>
        <v>46063.173611111117</v>
      </c>
      <c r="C157" s="28">
        <f t="shared" si="7"/>
        <v>6.25E-2</v>
      </c>
      <c r="D157" s="29"/>
      <c r="E157" s="29" t="s">
        <v>153</v>
      </c>
      <c r="F157" s="29"/>
      <c r="G157" s="29"/>
      <c r="H157" s="48" t="str">
        <f>IFERROR(Линия10[[#This Row],[Кол-во]]/Линия10[[#This Row],[Шт. в поддоне]], "")</f>
        <v/>
      </c>
    </row>
    <row r="158" spans="1:8" hidden="1" x14ac:dyDescent="0.25">
      <c r="A158" s="47">
        <f t="shared" si="8"/>
        <v>46063.173611111117</v>
      </c>
      <c r="B158" s="47">
        <f>Линия10[[#This Row],[Дата начала]]+Линия10[[#This Row],[Длительность]]</f>
        <v>46063.451388888898</v>
      </c>
      <c r="C158" s="28">
        <f t="shared" si="7"/>
        <v>0.27777777777777779</v>
      </c>
      <c r="D158" s="29">
        <v>450</v>
      </c>
      <c r="E158" s="29" t="s">
        <v>470</v>
      </c>
      <c r="F158" s="29">
        <v>3000</v>
      </c>
      <c r="G158" s="54">
        <v>432</v>
      </c>
      <c r="H158" s="48">
        <f>IFERROR(Линия10[[#This Row],[Кол-во]]/Линия10[[#This Row],[Шт. в поддоне]], "")</f>
        <v>6.9444444444444446</v>
      </c>
    </row>
    <row r="159" spans="1:8" hidden="1" x14ac:dyDescent="0.25">
      <c r="A159" s="47">
        <f t="shared" si="8"/>
        <v>46063.451388888898</v>
      </c>
      <c r="B159" s="47">
        <f>Линия10[[#This Row],[Дата начала]]+Линия10[[#This Row],[Длительность]]</f>
        <v>46063.493055555562</v>
      </c>
      <c r="C159" s="28">
        <f t="shared" si="7"/>
        <v>4.1666666666666664E-2</v>
      </c>
      <c r="D159" s="29"/>
      <c r="E159" s="29" t="s">
        <v>197</v>
      </c>
      <c r="F159" s="29"/>
      <c r="G159" s="29" t="str">
        <f>IF(Линия10[[#This Row],[Кол-во]]&lt;&gt;"", 384, "")</f>
        <v/>
      </c>
      <c r="H159" s="48" t="str">
        <f>IFERROR(Линия10[[#This Row],[Кол-во]]/Линия10[[#This Row],[Шт. в поддоне]], "")</f>
        <v/>
      </c>
    </row>
    <row r="160" spans="1:8" hidden="1" x14ac:dyDescent="0.25">
      <c r="A160" s="47">
        <f t="shared" si="8"/>
        <v>46063.493055555562</v>
      </c>
      <c r="B160" s="47">
        <f>Линия10[[#This Row],[Дата начала]]+Линия10[[#This Row],[Длительность]]</f>
        <v>46063.770833333343</v>
      </c>
      <c r="C160" s="28">
        <f t="shared" si="7"/>
        <v>0.27777777777777779</v>
      </c>
      <c r="D160" s="29">
        <v>450</v>
      </c>
      <c r="E160" s="29" t="s">
        <v>471</v>
      </c>
      <c r="F160" s="29">
        <v>3000</v>
      </c>
      <c r="G160" s="54">
        <v>432</v>
      </c>
      <c r="H160" s="48">
        <f>IFERROR(Линия10[[#This Row],[Кол-во]]/Линия10[[#This Row],[Шт. в поддоне]], "")</f>
        <v>6.9444444444444446</v>
      </c>
    </row>
    <row r="161" spans="1:8" hidden="1" x14ac:dyDescent="0.25">
      <c r="A161" s="47">
        <f t="shared" si="8"/>
        <v>46063.770833333343</v>
      </c>
      <c r="B161" s="47">
        <f>Линия10[[#This Row],[Дата начала]]+Линия10[[#This Row],[Длительность]]</f>
        <v>46063.916666666679</v>
      </c>
      <c r="C161" s="28">
        <f t="shared" si="7"/>
        <v>0.14583333333333334</v>
      </c>
      <c r="D161" s="29"/>
      <c r="E161" s="29" t="s">
        <v>158</v>
      </c>
      <c r="F161" s="29"/>
      <c r="G161" s="29"/>
      <c r="H161" s="48" t="str">
        <f>IFERROR(Линия10[[#This Row],[Кол-во]]/Линия10[[#This Row],[Шт. в поддоне]], "")</f>
        <v/>
      </c>
    </row>
    <row r="162" spans="1:8" hidden="1" x14ac:dyDescent="0.25">
      <c r="A162" s="78">
        <v>46064.125</v>
      </c>
      <c r="B162" s="79">
        <f>Линия10[[#This Row],[Дата начала]]+Линия10[[#This Row],[Длительность]]</f>
        <v>46064.541666666664</v>
      </c>
      <c r="C162" s="28">
        <f t="shared" si="7"/>
        <v>0.41666666666666669</v>
      </c>
      <c r="D162" s="29">
        <v>450</v>
      </c>
      <c r="E162" s="29" t="s">
        <v>472</v>
      </c>
      <c r="F162" s="29">
        <v>4500</v>
      </c>
      <c r="G162" s="29">
        <v>432</v>
      </c>
      <c r="H162" s="48">
        <f>IFERROR(Линия10[[#This Row],[Кол-во]]/Линия10[[#This Row],[Шт. в поддоне]], "")</f>
        <v>10.416666666666666</v>
      </c>
    </row>
    <row r="163" spans="1:8" hidden="1" x14ac:dyDescent="0.25">
      <c r="A163" s="78">
        <f>B162</f>
        <v>46064.541666666664</v>
      </c>
      <c r="B163" s="79">
        <f>Линия10[[#This Row],[Дата начала]]+Линия10[[#This Row],[Длительность]]</f>
        <v>46064.604166666664</v>
      </c>
      <c r="C163" s="28">
        <f t="shared" si="7"/>
        <v>6.25E-2</v>
      </c>
      <c r="D163" s="29"/>
      <c r="E163" s="29" t="s">
        <v>153</v>
      </c>
      <c r="F163" s="29"/>
      <c r="G163" s="29"/>
      <c r="H163" s="48" t="str">
        <f>IFERROR(Линия10[[#This Row],[Кол-во]]/Линия10[[#This Row],[Шт. в поддоне]], "")</f>
        <v/>
      </c>
    </row>
    <row r="164" spans="1:8" hidden="1" x14ac:dyDescent="0.25">
      <c r="A164" s="78">
        <f t="shared" ref="A164:A189" si="9">B163</f>
        <v>46064.604166666664</v>
      </c>
      <c r="B164" s="79">
        <f>Линия10[[#This Row],[Дата начала]]+Линия10[[#This Row],[Длительность]]</f>
        <v>46066.548611111109</v>
      </c>
      <c r="C164" s="28">
        <f t="shared" si="7"/>
        <v>1.9444444444444444</v>
      </c>
      <c r="D164" s="29">
        <v>450</v>
      </c>
      <c r="E164" s="29" t="s">
        <v>473</v>
      </c>
      <c r="F164" s="29">
        <v>21000</v>
      </c>
      <c r="G164" s="29">
        <v>432</v>
      </c>
      <c r="H164" s="48">
        <f>IFERROR(Линия10[[#This Row],[Кол-во]]/Линия10[[#This Row],[Шт. в поддоне]], "")</f>
        <v>48.611111111111114</v>
      </c>
    </row>
    <row r="165" spans="1:8" hidden="1" x14ac:dyDescent="0.25">
      <c r="A165" s="78">
        <f t="shared" si="9"/>
        <v>46066.548611111109</v>
      </c>
      <c r="B165" s="79">
        <f>Линия10[[#This Row],[Дата начала]]+Линия10[[#This Row],[Длительность]]</f>
        <v>46066.590277777774</v>
      </c>
      <c r="C165" s="28">
        <f t="shared" si="7"/>
        <v>4.1666666666666664E-2</v>
      </c>
      <c r="D165" s="29"/>
      <c r="E165" s="29" t="s">
        <v>197</v>
      </c>
      <c r="F165" s="29"/>
      <c r="G165" s="29"/>
      <c r="H165" s="48" t="str">
        <f>IFERROR(Линия10[[#This Row],[Кол-во]]/Линия10[[#This Row],[Шт. в поддоне]], "")</f>
        <v/>
      </c>
    </row>
    <row r="166" spans="1:8" hidden="1" x14ac:dyDescent="0.25">
      <c r="A166" s="78">
        <f t="shared" si="9"/>
        <v>46066.590277777774</v>
      </c>
      <c r="B166" s="79">
        <f>Линия10[[#This Row],[Дата начала]]+Линия10[[#This Row],[Длительность]]</f>
        <v>46067.006944444438</v>
      </c>
      <c r="C166" s="28">
        <f t="shared" si="7"/>
        <v>0.41666666666666669</v>
      </c>
      <c r="D166" s="29">
        <v>450</v>
      </c>
      <c r="E166" s="29" t="s">
        <v>474</v>
      </c>
      <c r="F166" s="29">
        <v>4500</v>
      </c>
      <c r="G166" s="29">
        <v>432</v>
      </c>
      <c r="H166" s="48">
        <f>IFERROR(Линия10[[#This Row],[Кол-во]]/Линия10[[#This Row],[Шт. в поддоне]], "")</f>
        <v>10.416666666666666</v>
      </c>
    </row>
    <row r="167" spans="1:8" hidden="1" x14ac:dyDescent="0.25">
      <c r="A167" s="78">
        <f t="shared" si="9"/>
        <v>46067.006944444438</v>
      </c>
      <c r="B167" s="71">
        <f>Линия10[[#This Row],[Дата начала]]+Линия10[[#This Row],[Длительность]]</f>
        <v>46067.069444444438</v>
      </c>
      <c r="C167" s="33">
        <f t="shared" si="7"/>
        <v>6.25E-2</v>
      </c>
      <c r="D167" s="34"/>
      <c r="E167" s="34" t="s">
        <v>153</v>
      </c>
      <c r="F167" s="34"/>
      <c r="G167" s="34"/>
      <c r="H167" s="46" t="str">
        <f>IFERROR(Линия10[[#This Row],[Кол-во]]/Линия10[[#This Row],[Шт. в поддоне]], "")</f>
        <v/>
      </c>
    </row>
    <row r="168" spans="1:8" hidden="1" x14ac:dyDescent="0.25">
      <c r="A168" s="78">
        <f t="shared" si="9"/>
        <v>46067.069444444438</v>
      </c>
      <c r="B168" s="71">
        <f>Линия10[[#This Row],[Дата начала]]+Линия10[[#This Row],[Длительность]]</f>
        <v>46067.347222222219</v>
      </c>
      <c r="C168" s="33">
        <f t="shared" si="7"/>
        <v>0.27777777777777779</v>
      </c>
      <c r="D168" s="29">
        <v>450</v>
      </c>
      <c r="E168" s="29" t="s">
        <v>475</v>
      </c>
      <c r="F168" s="29">
        <v>3000</v>
      </c>
      <c r="G168" s="29">
        <v>432</v>
      </c>
      <c r="H168" s="48">
        <f>IFERROR(Линия10[[#This Row],[Кол-во]]/Линия10[[#This Row],[Шт. в поддоне]], "")</f>
        <v>6.9444444444444446</v>
      </c>
    </row>
    <row r="169" spans="1:8" hidden="1" x14ac:dyDescent="0.25">
      <c r="A169" s="78">
        <f t="shared" si="9"/>
        <v>46067.347222222219</v>
      </c>
      <c r="B169" s="71">
        <f>Линия10[[#This Row],[Дата начала]]+Линия10[[#This Row],[Длительность]]</f>
        <v>46067.388888888883</v>
      </c>
      <c r="C169" s="33">
        <f t="shared" si="7"/>
        <v>4.1666666666666664E-2</v>
      </c>
      <c r="D169" s="29"/>
      <c r="E169" s="29" t="s">
        <v>197</v>
      </c>
      <c r="F169" s="29"/>
      <c r="G169" s="29"/>
      <c r="H169" s="48" t="str">
        <f>IFERROR(Линия10[[#This Row],[Кол-во]]/Линия10[[#This Row],[Шт. в поддоне]], "")</f>
        <v/>
      </c>
    </row>
    <row r="170" spans="1:8" hidden="1" x14ac:dyDescent="0.25">
      <c r="A170" s="78">
        <f t="shared" si="9"/>
        <v>46067.388888888883</v>
      </c>
      <c r="B170" s="71">
        <f>Линия10[[#This Row],[Дата начала]]+Линия10[[#This Row],[Длительность]]</f>
        <v>46067.805555555547</v>
      </c>
      <c r="C170" s="33">
        <f t="shared" si="7"/>
        <v>0.41666666666666669</v>
      </c>
      <c r="D170" s="29">
        <v>450</v>
      </c>
      <c r="E170" s="29" t="s">
        <v>476</v>
      </c>
      <c r="F170" s="29">
        <v>4500</v>
      </c>
      <c r="G170" s="29">
        <v>432</v>
      </c>
      <c r="H170" s="48">
        <f>IFERROR(Линия10[[#This Row],[Кол-во]]/Линия10[[#This Row],[Шт. в поддоне]], "")</f>
        <v>10.416666666666666</v>
      </c>
    </row>
    <row r="171" spans="1:8" hidden="1" x14ac:dyDescent="0.25">
      <c r="A171" s="78">
        <f t="shared" si="9"/>
        <v>46067.805555555547</v>
      </c>
      <c r="B171" s="71">
        <f>Линия10[[#This Row],[Дата начала]]+Линия10[[#This Row],[Длительность]]</f>
        <v>46067.847222222212</v>
      </c>
      <c r="C171" s="33">
        <f t="shared" si="7"/>
        <v>4.1666666666666664E-2</v>
      </c>
      <c r="D171" s="29"/>
      <c r="E171" s="29" t="s">
        <v>197</v>
      </c>
      <c r="F171" s="29"/>
      <c r="G171" s="29"/>
      <c r="H171" s="48" t="str">
        <f>IFERROR(Линия10[[#This Row],[Кол-во]]/Линия10[[#This Row],[Шт. в поддоне]], "")</f>
        <v/>
      </c>
    </row>
    <row r="172" spans="1:8" hidden="1" x14ac:dyDescent="0.25">
      <c r="A172" s="78">
        <f t="shared" si="9"/>
        <v>46067.847222222212</v>
      </c>
      <c r="B172" s="71">
        <f>Линия10[[#This Row],[Дата начала]]+Линия10[[#This Row],[Длительность]]</f>
        <v>46068.124999999993</v>
      </c>
      <c r="C172" s="33">
        <f t="shared" si="7"/>
        <v>0.27777777777777779</v>
      </c>
      <c r="D172" s="29">
        <v>450</v>
      </c>
      <c r="E172" s="29" t="s">
        <v>477</v>
      </c>
      <c r="F172" s="29">
        <v>3000</v>
      </c>
      <c r="G172" s="29">
        <v>432</v>
      </c>
      <c r="H172" s="48">
        <f>IFERROR(Линия10[[#This Row],[Кол-во]]/Линия10[[#This Row],[Шт. в поддоне]], "")</f>
        <v>6.9444444444444446</v>
      </c>
    </row>
    <row r="173" spans="1:8" hidden="1" x14ac:dyDescent="0.25">
      <c r="A173" s="78">
        <f t="shared" si="9"/>
        <v>46068.124999999993</v>
      </c>
      <c r="B173" s="71">
        <f>Линия10[[#This Row],[Дата начала]]+Линия10[[#This Row],[Длительность]]</f>
        <v>46068.166666666657</v>
      </c>
      <c r="C173" s="33">
        <f t="shared" si="7"/>
        <v>4.1666666666666664E-2</v>
      </c>
      <c r="D173" s="29"/>
      <c r="E173" s="29" t="s">
        <v>197</v>
      </c>
      <c r="F173" s="29"/>
      <c r="G173" s="29"/>
      <c r="H173" s="48" t="str">
        <f>IFERROR(Линия10[[#This Row],[Кол-во]]/Линия10[[#This Row],[Шт. в поддоне]], "")</f>
        <v/>
      </c>
    </row>
    <row r="174" spans="1:8" hidden="1" x14ac:dyDescent="0.25">
      <c r="A174" s="78">
        <f t="shared" si="9"/>
        <v>46068.166666666657</v>
      </c>
      <c r="B174" s="71">
        <f>Линия10[[#This Row],[Дата начала]]+Линия10[[#This Row],[Длительность]]</f>
        <v>46068.999999999993</v>
      </c>
      <c r="C174" s="33">
        <f t="shared" si="7"/>
        <v>0.83333333333333337</v>
      </c>
      <c r="D174" s="29">
        <v>450</v>
      </c>
      <c r="E174" s="29" t="s">
        <v>467</v>
      </c>
      <c r="F174" s="29">
        <v>9000</v>
      </c>
      <c r="G174" s="29">
        <v>432</v>
      </c>
      <c r="H174" s="48">
        <f>IFERROR(Линия10[[#This Row],[Кол-во]]/Линия10[[#This Row],[Шт. в поддоне]], "")</f>
        <v>20.833333333333332</v>
      </c>
    </row>
    <row r="175" spans="1:8" hidden="1" x14ac:dyDescent="0.25">
      <c r="A175" s="78">
        <f t="shared" si="9"/>
        <v>46068.999999999993</v>
      </c>
      <c r="B175" s="71">
        <f>Линия10[[#This Row],[Дата начала]]+Линия10[[#This Row],[Длительность]]</f>
        <v>46069.062499999993</v>
      </c>
      <c r="C175" s="33">
        <f t="shared" si="7"/>
        <v>6.25E-2</v>
      </c>
      <c r="D175" s="29"/>
      <c r="E175" s="29" t="s">
        <v>153</v>
      </c>
      <c r="F175" s="29"/>
      <c r="G175" s="29"/>
      <c r="H175" s="48" t="str">
        <f>IFERROR(Линия10[[#This Row],[Кол-во]]/Линия10[[#This Row],[Шт. в поддоне]], "")</f>
        <v/>
      </c>
    </row>
    <row r="176" spans="1:8" hidden="1" x14ac:dyDescent="0.25">
      <c r="A176" s="78">
        <v>46069.541666666664</v>
      </c>
      <c r="B176" s="71">
        <f>Линия10[[#This Row],[Дата начала]]+Линия10[[#This Row],[Длительность]]</f>
        <v>46069.745370370365</v>
      </c>
      <c r="C176" s="33">
        <f t="shared" si="7"/>
        <v>0.20370370370370372</v>
      </c>
      <c r="D176" s="29">
        <v>450</v>
      </c>
      <c r="E176" s="29" t="s">
        <v>463</v>
      </c>
      <c r="F176" s="29">
        <v>2200</v>
      </c>
      <c r="G176" s="29">
        <v>432</v>
      </c>
      <c r="H176" s="48">
        <f>IFERROR(Линия10[[#This Row],[Кол-во]]/Линия10[[#This Row],[Шт. в поддоне]], "")</f>
        <v>5.0925925925925926</v>
      </c>
    </row>
    <row r="177" spans="1:8" hidden="1" x14ac:dyDescent="0.25">
      <c r="A177" s="78">
        <f t="shared" si="9"/>
        <v>46069.745370370365</v>
      </c>
      <c r="B177" s="71">
        <f>Линия10[[#This Row],[Дата начала]]+Линия10[[#This Row],[Длительность]]</f>
        <v>46069.787037037029</v>
      </c>
      <c r="C177" s="33">
        <f t="shared" si="7"/>
        <v>4.1666666666666664E-2</v>
      </c>
      <c r="D177" s="29"/>
      <c r="E177" s="29" t="s">
        <v>197</v>
      </c>
      <c r="F177" s="29"/>
      <c r="G177" s="29"/>
      <c r="H177" s="48" t="str">
        <f>IFERROR(Линия10[[#This Row],[Кол-во]]/Линия10[[#This Row],[Шт. в поддоне]], "")</f>
        <v/>
      </c>
    </row>
    <row r="178" spans="1:8" hidden="1" x14ac:dyDescent="0.25">
      <c r="A178" s="78">
        <f t="shared" si="9"/>
        <v>46069.787037037029</v>
      </c>
      <c r="B178" s="71">
        <f>Линия10[[#This Row],[Дата начала]]+Линия10[[#This Row],[Длительность]]</f>
        <v>46070.657407407401</v>
      </c>
      <c r="C178" s="33">
        <f t="shared" si="7"/>
        <v>0.87037037037037035</v>
      </c>
      <c r="D178" s="29">
        <v>450</v>
      </c>
      <c r="E178" s="29" t="s">
        <v>461</v>
      </c>
      <c r="F178" s="29">
        <v>9400</v>
      </c>
      <c r="G178" s="29">
        <v>432</v>
      </c>
      <c r="H178" s="48">
        <f>IFERROR(Линия10[[#This Row],[Кол-во]]/Линия10[[#This Row],[Шт. в поддоне]], "")</f>
        <v>21.75925925925926</v>
      </c>
    </row>
    <row r="179" spans="1:8" hidden="1" x14ac:dyDescent="0.25">
      <c r="A179" s="78">
        <f t="shared" si="9"/>
        <v>46070.657407407401</v>
      </c>
      <c r="B179" s="71">
        <f>Линия10[[#This Row],[Дата начала]]+Линия10[[#This Row],[Длительность]]</f>
        <v>46070.699074074066</v>
      </c>
      <c r="C179" s="33">
        <f t="shared" si="7"/>
        <v>4.1666666666666664E-2</v>
      </c>
      <c r="D179" s="29"/>
      <c r="E179" s="29" t="s">
        <v>197</v>
      </c>
      <c r="F179" s="29"/>
      <c r="G179" s="29"/>
      <c r="H179" s="48" t="str">
        <f>IFERROR(Линия10[[#This Row],[Кол-во]]/Линия10[[#This Row],[Шт. в поддоне]], "")</f>
        <v/>
      </c>
    </row>
    <row r="180" spans="1:8" hidden="1" x14ac:dyDescent="0.25">
      <c r="A180" s="78">
        <v>46070.5</v>
      </c>
      <c r="B180" s="71">
        <f>Линия10[[#This Row],[Дата начала]]+Линия10[[#This Row],[Длительность]]</f>
        <v>46070.703703703701</v>
      </c>
      <c r="C180" s="33">
        <f t="shared" si="7"/>
        <v>0.20370370370370372</v>
      </c>
      <c r="D180" s="29">
        <v>450</v>
      </c>
      <c r="E180" s="29" t="s">
        <v>464</v>
      </c>
      <c r="F180" s="29">
        <v>2200</v>
      </c>
      <c r="G180" s="29">
        <v>432</v>
      </c>
      <c r="H180" s="48">
        <f>IFERROR(Линия10[[#This Row],[Кол-во]]/Линия10[[#This Row],[Шт. в поддоне]], "")</f>
        <v>5.0925925925925926</v>
      </c>
    </row>
    <row r="181" spans="1:8" hidden="1" x14ac:dyDescent="0.25">
      <c r="A181" s="78">
        <f t="shared" si="9"/>
        <v>46070.703703703701</v>
      </c>
      <c r="B181" s="71">
        <f>Линия10[[#This Row],[Дата начала]]+Линия10[[#This Row],[Длительность]]</f>
        <v>46070.745370370365</v>
      </c>
      <c r="C181" s="33">
        <f t="shared" si="7"/>
        <v>4.1666666666666664E-2</v>
      </c>
      <c r="D181" s="29"/>
      <c r="E181" s="29" t="s">
        <v>197</v>
      </c>
      <c r="F181" s="29"/>
      <c r="G181" s="29"/>
      <c r="H181" s="48" t="str">
        <f>IFERROR(Линия10[[#This Row],[Кол-во]]/Линия10[[#This Row],[Шт. в поддоне]], "")</f>
        <v/>
      </c>
    </row>
    <row r="182" spans="1:8" hidden="1" x14ac:dyDescent="0.25">
      <c r="A182" s="78">
        <f t="shared" si="9"/>
        <v>46070.745370370365</v>
      </c>
      <c r="B182" s="71">
        <f>Линия10[[#This Row],[Дата начала]]+Линия10[[#This Row],[Длительность]]</f>
        <v>46070.884259259255</v>
      </c>
      <c r="C182" s="33">
        <f t="shared" si="7"/>
        <v>0.1388888888888889</v>
      </c>
      <c r="D182" s="29">
        <v>450</v>
      </c>
      <c r="E182" s="29" t="s">
        <v>465</v>
      </c>
      <c r="F182" s="29">
        <v>1500</v>
      </c>
      <c r="G182" s="29">
        <v>432</v>
      </c>
      <c r="H182" s="48">
        <f>IFERROR(Линия10[[#This Row],[Кол-во]]/Линия10[[#This Row],[Шт. в поддоне]], "")</f>
        <v>3.4722222222222223</v>
      </c>
    </row>
    <row r="183" spans="1:8" hidden="1" x14ac:dyDescent="0.25">
      <c r="A183" s="78">
        <f t="shared" si="9"/>
        <v>46070.884259259255</v>
      </c>
      <c r="B183" s="71">
        <f>Линия10[[#This Row],[Дата начала]]+Линия10[[#This Row],[Длительность]]</f>
        <v>46070.92592592592</v>
      </c>
      <c r="C183" s="33">
        <f t="shared" si="7"/>
        <v>4.1666666666666664E-2</v>
      </c>
      <c r="D183" s="29"/>
      <c r="E183" s="29" t="s">
        <v>197</v>
      </c>
      <c r="F183" s="29"/>
      <c r="G183" s="29"/>
      <c r="H183" s="48" t="str">
        <f>IFERROR(Линия10[[#This Row],[Кол-во]]/Линия10[[#This Row],[Шт. в поддоне]], "")</f>
        <v/>
      </c>
    </row>
    <row r="184" spans="1:8" hidden="1" x14ac:dyDescent="0.25">
      <c r="A184" s="78">
        <f t="shared" si="9"/>
        <v>46070.92592592592</v>
      </c>
      <c r="B184" s="71">
        <v>46071.375</v>
      </c>
      <c r="C184" s="33">
        <f t="shared" si="7"/>
        <v>0.54629629629629628</v>
      </c>
      <c r="D184" s="29">
        <v>450</v>
      </c>
      <c r="E184" s="29" t="s">
        <v>462</v>
      </c>
      <c r="F184" s="29">
        <v>5900</v>
      </c>
      <c r="G184" s="29">
        <v>432</v>
      </c>
      <c r="H184" s="48">
        <f>IFERROR(Линия10[[#This Row],[Кол-во]]/Линия10[[#This Row],[Шт. в поддоне]], "")</f>
        <v>13.657407407407407</v>
      </c>
    </row>
    <row r="185" spans="1:8" hidden="1" x14ac:dyDescent="0.25">
      <c r="A185" s="78">
        <f t="shared" si="9"/>
        <v>46071.375</v>
      </c>
      <c r="B185" s="71">
        <f>Линия10[[#This Row],[Дата начала]]+Линия10[[#This Row],[Длительность]]</f>
        <v>46071.4375</v>
      </c>
      <c r="C185" s="33">
        <f t="shared" si="7"/>
        <v>6.25E-2</v>
      </c>
      <c r="D185" s="29"/>
      <c r="E185" s="29" t="s">
        <v>153</v>
      </c>
      <c r="F185" s="29"/>
      <c r="G185" s="29"/>
      <c r="H185" s="48" t="str">
        <f>IFERROR(Линия10[[#This Row],[Кол-во]]/Линия10[[#This Row],[Шт. в поддоне]], "")</f>
        <v/>
      </c>
    </row>
    <row r="186" spans="1:8" hidden="1" x14ac:dyDescent="0.25">
      <c r="A186" s="78">
        <f t="shared" si="9"/>
        <v>46071.4375</v>
      </c>
      <c r="B186" s="71">
        <f>Линия10[[#This Row],[Дата начала]]+Линия10[[#This Row],[Длительность]]</f>
        <v>46071.993055555555</v>
      </c>
      <c r="C186" s="33">
        <f t="shared" si="7"/>
        <v>0.55555555555555558</v>
      </c>
      <c r="D186" s="29">
        <v>450</v>
      </c>
      <c r="E186" s="29" t="s">
        <v>466</v>
      </c>
      <c r="F186" s="29">
        <v>6000</v>
      </c>
      <c r="G186" s="29">
        <v>432</v>
      </c>
      <c r="H186" s="48">
        <f>IFERROR(Линия10[[#This Row],[Кол-во]]/Линия10[[#This Row],[Шт. в поддоне]], "")</f>
        <v>13.888888888888889</v>
      </c>
    </row>
    <row r="187" spans="1:8" hidden="1" x14ac:dyDescent="0.25">
      <c r="A187" s="78">
        <f t="shared" si="9"/>
        <v>46071.993055555555</v>
      </c>
      <c r="B187" s="71">
        <f>Линия10[[#This Row],[Дата начала]]+Линия10[[#This Row],[Длительность]]</f>
        <v>46072.055555555555</v>
      </c>
      <c r="C187" s="33">
        <f t="shared" si="7"/>
        <v>6.25E-2</v>
      </c>
      <c r="D187" s="34"/>
      <c r="E187" s="34" t="s">
        <v>153</v>
      </c>
      <c r="F187" s="34"/>
      <c r="G187" s="34"/>
      <c r="H187" s="46" t="str">
        <f>IFERROR(Линия10[[#This Row],[Кол-во]]/Линия10[[#This Row],[Шт. в поддоне]], "")</f>
        <v/>
      </c>
    </row>
    <row r="188" spans="1:8" hidden="1" x14ac:dyDescent="0.25">
      <c r="A188" s="78">
        <f t="shared" si="9"/>
        <v>46072.055555555555</v>
      </c>
      <c r="B188" s="71">
        <f>Линия10[[#This Row],[Дата начала]]+Линия10[[#This Row],[Длительность]]</f>
        <v>46072.333333333336</v>
      </c>
      <c r="C188" s="33">
        <f t="shared" si="7"/>
        <v>0.27777777777777779</v>
      </c>
      <c r="D188" s="34">
        <v>450</v>
      </c>
      <c r="E188" s="34" t="s">
        <v>460</v>
      </c>
      <c r="F188" s="34">
        <v>3000</v>
      </c>
      <c r="G188" s="34"/>
      <c r="H188" s="46" t="str">
        <f>IFERROR(Линия10[[#This Row],[Кол-во]]/Линия10[[#This Row],[Шт. в поддоне]], "")</f>
        <v/>
      </c>
    </row>
    <row r="189" spans="1:8" hidden="1" x14ac:dyDescent="0.25">
      <c r="A189" s="78">
        <f t="shared" si="9"/>
        <v>46072.333333333336</v>
      </c>
      <c r="B189" s="71">
        <f>Линия10[[#This Row],[Дата начала]]+Линия10[[#This Row],[Длительность]]</f>
        <v>46072.395833333336</v>
      </c>
      <c r="C189" s="33">
        <f t="shared" si="7"/>
        <v>6.25E-2</v>
      </c>
      <c r="D189" s="34"/>
      <c r="E189" s="34" t="s">
        <v>153</v>
      </c>
      <c r="F189" s="34"/>
      <c r="G189" s="34"/>
      <c r="H189" s="46" t="str">
        <f>IFERROR(Линия10[[#This Row],[Кол-во]]/Линия10[[#This Row],[Шт. в поддоне]], "")</f>
        <v/>
      </c>
    </row>
    <row r="190" spans="1:8" x14ac:dyDescent="0.25">
      <c r="A190" s="78">
        <f>'Линия 5 Сиропы'!B197</f>
        <v>46079.889520202021</v>
      </c>
      <c r="B190" s="79">
        <f>Линия10[[#This Row],[Дата начала]]+Линия10[[#This Row],[Длительность]]</f>
        <v>46079.952020202021</v>
      </c>
      <c r="C190" s="28">
        <f t="shared" si="7"/>
        <v>6.25E-2</v>
      </c>
      <c r="D190" s="29"/>
      <c r="E190" s="29" t="s">
        <v>153</v>
      </c>
      <c r="F190" s="29"/>
      <c r="G190" s="29"/>
      <c r="H190" s="48" t="str">
        <f>IFERROR(Линия10[[#This Row],[Кол-во]]/Линия10[[#This Row],[Шт. в поддоне]], "")</f>
        <v/>
      </c>
    </row>
    <row r="191" spans="1:8" x14ac:dyDescent="0.25">
      <c r="A191" s="78">
        <f>B190</f>
        <v>46079.952020202021</v>
      </c>
      <c r="B191" s="79">
        <f>Линия10[[#This Row],[Дата начала]]+Линия10[[#This Row],[Длительность]]</f>
        <v>46080.368686868685</v>
      </c>
      <c r="C191" s="28">
        <f t="shared" si="7"/>
        <v>0.41666666666666669</v>
      </c>
      <c r="D191" s="29">
        <v>450</v>
      </c>
      <c r="E191" s="29" t="s">
        <v>478</v>
      </c>
      <c r="F191" s="29">
        <v>4500</v>
      </c>
      <c r="G191" s="29">
        <v>432</v>
      </c>
      <c r="H191" s="48">
        <f>IFERROR(Линия10[[#This Row],[Кол-во]]/Линия10[[#This Row],[Шт. в поддоне]], "")</f>
        <v>10.416666666666666</v>
      </c>
    </row>
    <row r="192" spans="1:8" x14ac:dyDescent="0.25">
      <c r="A192" s="78">
        <f t="shared" ref="A192:A235" si="10">B191</f>
        <v>46080.368686868685</v>
      </c>
      <c r="B192" s="79">
        <f>Линия10[[#This Row],[Дата начала]]+Линия10[[#This Row],[Длительность]]</f>
        <v>46080.41035353535</v>
      </c>
      <c r="C192" s="28">
        <f t="shared" si="7"/>
        <v>4.1666666666666664E-2</v>
      </c>
      <c r="D192" s="29"/>
      <c r="E192" s="29" t="s">
        <v>197</v>
      </c>
      <c r="F192" s="29"/>
      <c r="G192" s="29"/>
      <c r="H192" s="48" t="str">
        <f>IFERROR(Линия10[[#This Row],[Кол-во]]/Линия10[[#This Row],[Шт. в поддоне]], "")</f>
        <v/>
      </c>
    </row>
    <row r="193" spans="1:8" x14ac:dyDescent="0.25">
      <c r="A193" s="78">
        <f t="shared" si="10"/>
        <v>46080.41035353535</v>
      </c>
      <c r="B193" s="79">
        <f>Линия10[[#This Row],[Дата начала]]+Линия10[[#This Row],[Длительность]]</f>
        <v>46080.688131313131</v>
      </c>
      <c r="C193" s="28">
        <f t="shared" si="7"/>
        <v>0.27777777777777779</v>
      </c>
      <c r="D193" s="29">
        <v>450</v>
      </c>
      <c r="E193" s="29" t="s">
        <v>451</v>
      </c>
      <c r="F193" s="29">
        <v>3000</v>
      </c>
      <c r="G193" s="29">
        <v>432</v>
      </c>
      <c r="H193" s="48">
        <f>IFERROR(Линия10[[#This Row],[Кол-во]]/Линия10[[#This Row],[Шт. в поддоне]], "")</f>
        <v>6.9444444444444446</v>
      </c>
    </row>
    <row r="194" spans="1:8" x14ac:dyDescent="0.25">
      <c r="A194" s="78">
        <f t="shared" si="10"/>
        <v>46080.688131313131</v>
      </c>
      <c r="B194" s="79">
        <f>Линия10[[#This Row],[Дата начала]]+Линия10[[#This Row],[Длительность]]</f>
        <v>46080.750631313131</v>
      </c>
      <c r="C194" s="28">
        <f t="shared" si="7"/>
        <v>6.25E-2</v>
      </c>
      <c r="D194" s="29"/>
      <c r="E194" s="29" t="s">
        <v>153</v>
      </c>
      <c r="F194" s="29"/>
      <c r="G194" s="29"/>
      <c r="H194" s="48" t="str">
        <f>IFERROR(Линия10[[#This Row],[Кол-во]]/Линия10[[#This Row],[Шт. в поддоне]], "")</f>
        <v/>
      </c>
    </row>
    <row r="195" spans="1:8" x14ac:dyDescent="0.25">
      <c r="A195" s="78">
        <f t="shared" si="10"/>
        <v>46080.750631313131</v>
      </c>
      <c r="B195" s="79">
        <f>Линия10[[#This Row],[Дата начала]]+Линия10[[#This Row],[Длительность]]</f>
        <v>46081.028409090912</v>
      </c>
      <c r="C195" s="28">
        <f t="shared" si="7"/>
        <v>0.27777777777777779</v>
      </c>
      <c r="D195" s="29">
        <v>450</v>
      </c>
      <c r="E195" s="29" t="s">
        <v>438</v>
      </c>
      <c r="F195" s="29">
        <v>3000</v>
      </c>
      <c r="G195" s="29">
        <v>432</v>
      </c>
      <c r="H195" s="48">
        <f>IFERROR(Линия10[[#This Row],[Кол-во]]/Линия10[[#This Row],[Шт. в поддоне]], "")</f>
        <v>6.9444444444444446</v>
      </c>
    </row>
    <row r="196" spans="1:8" x14ac:dyDescent="0.25">
      <c r="A196" s="78">
        <f t="shared" si="10"/>
        <v>46081.028409090912</v>
      </c>
      <c r="B196" s="79">
        <f>Линия10[[#This Row],[Дата начала]]+Линия10[[#This Row],[Длительность]]</f>
        <v>46081.070075757576</v>
      </c>
      <c r="C196" s="28">
        <f t="shared" si="7"/>
        <v>4.1666666666666664E-2</v>
      </c>
      <c r="D196" s="29"/>
      <c r="E196" s="29" t="s">
        <v>197</v>
      </c>
      <c r="F196" s="29"/>
      <c r="G196" s="29"/>
      <c r="H196" s="48" t="str">
        <f>IFERROR(Линия10[[#This Row],[Кол-во]]/Линия10[[#This Row],[Шт. в поддоне]], "")</f>
        <v/>
      </c>
    </row>
    <row r="197" spans="1:8" x14ac:dyDescent="0.25">
      <c r="A197" s="78">
        <f t="shared" si="10"/>
        <v>46081.070075757576</v>
      </c>
      <c r="B197" s="79">
        <f>Линия10[[#This Row],[Дата начала]]+Линия10[[#This Row],[Длительность]]</f>
        <v>46081.347853535357</v>
      </c>
      <c r="C197" s="28">
        <f t="shared" si="7"/>
        <v>0.27777777777777779</v>
      </c>
      <c r="D197" s="29">
        <v>450</v>
      </c>
      <c r="E197" s="29" t="s">
        <v>464</v>
      </c>
      <c r="F197" s="29">
        <v>3000</v>
      </c>
      <c r="G197" s="29">
        <v>432</v>
      </c>
      <c r="H197" s="48">
        <f>IFERROR(Линия10[[#This Row],[Кол-во]]/Линия10[[#This Row],[Шт. в поддоне]], "")</f>
        <v>6.9444444444444446</v>
      </c>
    </row>
    <row r="198" spans="1:8" x14ac:dyDescent="0.25">
      <c r="A198" s="78">
        <f t="shared" si="10"/>
        <v>46081.347853535357</v>
      </c>
      <c r="B198" s="79">
        <f>Линия10[[#This Row],[Дата начала]]+Линия10[[#This Row],[Длительность]]</f>
        <v>46081.389520202021</v>
      </c>
      <c r="C198" s="28">
        <f t="shared" si="7"/>
        <v>4.1666666666666664E-2</v>
      </c>
      <c r="D198" s="29"/>
      <c r="E198" s="29" t="s">
        <v>197</v>
      </c>
      <c r="F198" s="29"/>
      <c r="G198" s="29"/>
      <c r="H198" s="48" t="str">
        <f>IFERROR(Линия10[[#This Row],[Кол-во]]/Линия10[[#This Row],[Шт. в поддоне]], "")</f>
        <v/>
      </c>
    </row>
    <row r="199" spans="1:8" x14ac:dyDescent="0.25">
      <c r="A199" s="78">
        <f t="shared" si="10"/>
        <v>46081.389520202021</v>
      </c>
      <c r="B199" s="79">
        <f>Линия10[[#This Row],[Дата начала]]+Линия10[[#This Row],[Длительность]]</f>
        <v>46081.806186868685</v>
      </c>
      <c r="C199" s="28">
        <f t="shared" si="7"/>
        <v>0.41666666666666669</v>
      </c>
      <c r="D199" s="29">
        <v>450</v>
      </c>
      <c r="E199" s="29" t="s">
        <v>465</v>
      </c>
      <c r="F199" s="29">
        <v>4500</v>
      </c>
      <c r="G199" s="29">
        <v>432</v>
      </c>
      <c r="H199" s="48">
        <f>IFERROR(Линия10[[#This Row],[Кол-во]]/Линия10[[#This Row],[Шт. в поддоне]], "")</f>
        <v>10.416666666666666</v>
      </c>
    </row>
    <row r="200" spans="1:8" x14ac:dyDescent="0.25">
      <c r="A200" s="78">
        <f t="shared" si="10"/>
        <v>46081.806186868685</v>
      </c>
      <c r="B200" s="79">
        <f>Линия10[[#This Row],[Дата начала]]+Линия10[[#This Row],[Длительность]]</f>
        <v>46081.84785353535</v>
      </c>
      <c r="C200" s="28">
        <f t="shared" ref="C200:C236" si="11">IF(E200="Вытеснение",TIME(0,30,0),
IF(E200="Передача смены",TIME(0,20,0),
IF(E200="Запуск",TIME(0,10,0),
IF(E200="CIP 1",TIME(0,60,0),
IF(E200="CIP 2",TIME(0,90,0),
IF(E200="CIP 3",TIME(0,210,0),
IF(AND(ISNUMBER(F200),ISNUMBER(D200),D200&gt;0),F200/D200/24,"Ошибка")))))))</f>
        <v>4.1666666666666664E-2</v>
      </c>
      <c r="D200" s="29"/>
      <c r="E200" s="29" t="s">
        <v>197</v>
      </c>
      <c r="F200" s="29"/>
      <c r="G200" s="29"/>
      <c r="H200" s="48" t="str">
        <f>IFERROR(Линия10[[#This Row],[Кол-во]]/Линия10[[#This Row],[Шт. в поддоне]], "")</f>
        <v/>
      </c>
    </row>
    <row r="201" spans="1:8" x14ac:dyDescent="0.25">
      <c r="A201" s="78">
        <f t="shared" si="10"/>
        <v>46081.84785353535</v>
      </c>
      <c r="B201" s="79">
        <f>Линия10[[#This Row],[Дата начала]]+Линия10[[#This Row],[Длительность]]</f>
        <v>46082.125631313131</v>
      </c>
      <c r="C201" s="28">
        <f t="shared" si="11"/>
        <v>0.27777777777777779</v>
      </c>
      <c r="D201" s="29">
        <v>450</v>
      </c>
      <c r="E201" s="29" t="s">
        <v>448</v>
      </c>
      <c r="F201" s="29">
        <v>3000</v>
      </c>
      <c r="G201" s="29">
        <v>432</v>
      </c>
      <c r="H201" s="48">
        <f>IFERROR(Линия10[[#This Row],[Кол-во]]/Линия10[[#This Row],[Шт. в поддоне]], "")</f>
        <v>6.9444444444444446</v>
      </c>
    </row>
    <row r="202" spans="1:8" x14ac:dyDescent="0.25">
      <c r="A202" s="78">
        <f t="shared" si="10"/>
        <v>46082.125631313131</v>
      </c>
      <c r="B202" s="79">
        <f>Линия10[[#This Row],[Дата начала]]+Линия10[[#This Row],[Длительность]]</f>
        <v>46082.167297979795</v>
      </c>
      <c r="C202" s="28">
        <f t="shared" si="11"/>
        <v>4.1666666666666664E-2</v>
      </c>
      <c r="D202" s="29"/>
      <c r="E202" s="29" t="s">
        <v>197</v>
      </c>
      <c r="F202" s="29"/>
      <c r="G202" s="29"/>
      <c r="H202" s="48" t="str">
        <f>IFERROR(Линия10[[#This Row],[Кол-во]]/Линия10[[#This Row],[Шт. в поддоне]], "")</f>
        <v/>
      </c>
    </row>
    <row r="203" spans="1:8" x14ac:dyDescent="0.25">
      <c r="A203" s="78">
        <f t="shared" si="10"/>
        <v>46082.167297979795</v>
      </c>
      <c r="B203" s="79">
        <f>Линия10[[#This Row],[Дата начала]]+Линия10[[#This Row],[Длительность]]</f>
        <v>46082.445075757576</v>
      </c>
      <c r="C203" s="28">
        <f t="shared" si="11"/>
        <v>0.27777777777777779</v>
      </c>
      <c r="D203" s="29">
        <v>450</v>
      </c>
      <c r="E203" s="29" t="s">
        <v>440</v>
      </c>
      <c r="F203" s="29">
        <v>3000</v>
      </c>
      <c r="G203" s="29">
        <v>432</v>
      </c>
      <c r="H203" s="48">
        <f>IFERROR(Линия10[[#This Row],[Кол-во]]/Линия10[[#This Row],[Шт. в поддоне]], "")</f>
        <v>6.9444444444444446</v>
      </c>
    </row>
    <row r="204" spans="1:8" x14ac:dyDescent="0.25">
      <c r="A204" s="78">
        <f t="shared" si="10"/>
        <v>46082.445075757576</v>
      </c>
      <c r="B204" s="79">
        <f>Линия10[[#This Row],[Дата начала]]+Линия10[[#This Row],[Длительность]]</f>
        <v>46082.48674242424</v>
      </c>
      <c r="C204" s="28">
        <f t="shared" si="11"/>
        <v>4.1666666666666664E-2</v>
      </c>
      <c r="D204" s="29"/>
      <c r="E204" s="29" t="s">
        <v>197</v>
      </c>
      <c r="F204" s="29"/>
      <c r="G204" s="29"/>
      <c r="H204" s="48" t="str">
        <f>IFERROR(Линия10[[#This Row],[Кол-во]]/Линия10[[#This Row],[Шт. в поддоне]], "")</f>
        <v/>
      </c>
    </row>
    <row r="205" spans="1:8" x14ac:dyDescent="0.25">
      <c r="A205" s="78">
        <f t="shared" si="10"/>
        <v>46082.48674242424</v>
      </c>
      <c r="B205" s="79">
        <f>Линия10[[#This Row],[Дата начала]]+Линия10[[#This Row],[Длительность]]</f>
        <v>46082.764520202021</v>
      </c>
      <c r="C205" s="28">
        <f t="shared" si="11"/>
        <v>0.27777777777777779</v>
      </c>
      <c r="D205" s="29">
        <v>450</v>
      </c>
      <c r="E205" s="29" t="s">
        <v>444</v>
      </c>
      <c r="F205" s="29">
        <v>3000</v>
      </c>
      <c r="G205" s="29">
        <v>432</v>
      </c>
      <c r="H205" s="48">
        <f>IFERROR(Линия10[[#This Row],[Кол-во]]/Линия10[[#This Row],[Шт. в поддоне]], "")</f>
        <v>6.9444444444444446</v>
      </c>
    </row>
    <row r="206" spans="1:8" x14ac:dyDescent="0.25">
      <c r="A206" s="78">
        <f t="shared" si="10"/>
        <v>46082.764520202021</v>
      </c>
      <c r="B206" s="79">
        <f>Линия10[[#This Row],[Дата начала]]+Линия10[[#This Row],[Длительность]]</f>
        <v>46082.806186868685</v>
      </c>
      <c r="C206" s="28">
        <f t="shared" si="11"/>
        <v>4.1666666666666664E-2</v>
      </c>
      <c r="D206" s="29"/>
      <c r="E206" s="29" t="s">
        <v>197</v>
      </c>
      <c r="F206" s="29"/>
      <c r="G206" s="29"/>
      <c r="H206" s="48" t="str">
        <f>IFERROR(Линия10[[#This Row],[Кол-во]]/Линия10[[#This Row],[Шт. в поддоне]], "")</f>
        <v/>
      </c>
    </row>
    <row r="207" spans="1:8" x14ac:dyDescent="0.25">
      <c r="A207" s="78">
        <f t="shared" si="10"/>
        <v>46082.806186868685</v>
      </c>
      <c r="B207" s="79">
        <f>Линия10[[#This Row],[Дата начала]]+Линия10[[#This Row],[Длительность]]</f>
        <v>46083.083964646466</v>
      </c>
      <c r="C207" s="28">
        <f t="shared" si="11"/>
        <v>0.27777777777777779</v>
      </c>
      <c r="D207" s="29">
        <v>450</v>
      </c>
      <c r="E207" s="29" t="s">
        <v>435</v>
      </c>
      <c r="F207" s="29">
        <v>3000</v>
      </c>
      <c r="G207" s="29">
        <v>432</v>
      </c>
      <c r="H207" s="48">
        <f>IFERROR(Линия10[[#This Row],[Кол-во]]/Линия10[[#This Row],[Шт. в поддоне]], "")</f>
        <v>6.9444444444444446</v>
      </c>
    </row>
    <row r="208" spans="1:8" x14ac:dyDescent="0.25">
      <c r="A208" s="78">
        <f t="shared" si="10"/>
        <v>46083.083964646466</v>
      </c>
      <c r="B208" s="79">
        <f>Линия10[[#This Row],[Дата начала]]+Линия10[[#This Row],[Длительность]]</f>
        <v>46083.125631313131</v>
      </c>
      <c r="C208" s="28">
        <f t="shared" si="11"/>
        <v>4.1666666666666664E-2</v>
      </c>
      <c r="D208" s="29"/>
      <c r="E208" s="29" t="s">
        <v>197</v>
      </c>
      <c r="F208" s="29"/>
      <c r="G208" s="29"/>
      <c r="H208" s="48" t="str">
        <f>IFERROR(Линия10[[#This Row],[Кол-во]]/Линия10[[#This Row],[Шт. в поддоне]], "")</f>
        <v/>
      </c>
    </row>
    <row r="209" spans="1:8" x14ac:dyDescent="0.25">
      <c r="A209" s="78">
        <f t="shared" si="10"/>
        <v>46083.125631313131</v>
      </c>
      <c r="B209" s="79">
        <f>Линия10[[#This Row],[Дата начала]]+Линия10[[#This Row],[Длительность]]</f>
        <v>46083.403409090912</v>
      </c>
      <c r="C209" s="28">
        <f t="shared" si="11"/>
        <v>0.27777777777777779</v>
      </c>
      <c r="D209" s="29">
        <v>450</v>
      </c>
      <c r="E209" s="29" t="s">
        <v>479</v>
      </c>
      <c r="F209" s="29">
        <v>3000</v>
      </c>
      <c r="G209" s="29">
        <v>432</v>
      </c>
      <c r="H209" s="48">
        <f>IFERROR(Линия10[[#This Row],[Кол-во]]/Линия10[[#This Row],[Шт. в поддоне]], "")</f>
        <v>6.9444444444444446</v>
      </c>
    </row>
    <row r="210" spans="1:8" x14ac:dyDescent="0.25">
      <c r="A210" s="78">
        <f t="shared" si="10"/>
        <v>46083.403409090912</v>
      </c>
      <c r="B210" s="79">
        <f>Линия10[[#This Row],[Дата начала]]+Линия10[[#This Row],[Длительность]]</f>
        <v>46083.445075757576</v>
      </c>
      <c r="C210" s="28">
        <f t="shared" si="11"/>
        <v>4.1666666666666664E-2</v>
      </c>
      <c r="D210" s="29"/>
      <c r="E210" s="29" t="s">
        <v>197</v>
      </c>
      <c r="F210" s="29"/>
      <c r="G210" s="29"/>
      <c r="H210" s="48" t="str">
        <f>IFERROR(Линия10[[#This Row],[Кол-во]]/Линия10[[#This Row],[Шт. в поддоне]], "")</f>
        <v/>
      </c>
    </row>
    <row r="211" spans="1:8" x14ac:dyDescent="0.25">
      <c r="A211" s="78">
        <f t="shared" si="10"/>
        <v>46083.445075757576</v>
      </c>
      <c r="B211" s="79">
        <f>Линия10[[#This Row],[Дата начала]]+Линия10[[#This Row],[Длительность]]</f>
        <v>46084.278409090912</v>
      </c>
      <c r="C211" s="28">
        <f t="shared" si="11"/>
        <v>0.83333333333333337</v>
      </c>
      <c r="D211" s="29">
        <v>450</v>
      </c>
      <c r="E211" s="29" t="s">
        <v>469</v>
      </c>
      <c r="F211" s="29">
        <v>9000</v>
      </c>
      <c r="G211" s="29">
        <v>432</v>
      </c>
      <c r="H211" s="48">
        <f>IFERROR(Линия10[[#This Row],[Кол-во]]/Линия10[[#This Row],[Шт. в поддоне]], "")</f>
        <v>20.833333333333332</v>
      </c>
    </row>
    <row r="212" spans="1:8" x14ac:dyDescent="0.25">
      <c r="A212" s="78">
        <f t="shared" si="10"/>
        <v>46084.278409090912</v>
      </c>
      <c r="B212" s="79">
        <f>Линия10[[#This Row],[Дата начала]]+Линия10[[#This Row],[Длительность]]</f>
        <v>46084.320075757576</v>
      </c>
      <c r="C212" s="28">
        <f t="shared" si="11"/>
        <v>4.1666666666666664E-2</v>
      </c>
      <c r="D212" s="29"/>
      <c r="E212" s="29" t="s">
        <v>197</v>
      </c>
      <c r="F212" s="29"/>
      <c r="G212" s="29"/>
      <c r="H212" s="48" t="str">
        <f>IFERROR(Линия10[[#This Row],[Кол-во]]/Линия10[[#This Row],[Шт. в поддоне]], "")</f>
        <v/>
      </c>
    </row>
    <row r="213" spans="1:8" x14ac:dyDescent="0.25">
      <c r="A213" s="78">
        <f t="shared" si="10"/>
        <v>46084.320075757576</v>
      </c>
      <c r="B213" s="79">
        <f>Линия10[[#This Row],[Дата начала]]+Линия10[[#This Row],[Длительность]]</f>
        <v>46084.597853535357</v>
      </c>
      <c r="C213" s="28">
        <f t="shared" si="11"/>
        <v>0.27777777777777779</v>
      </c>
      <c r="D213" s="29">
        <v>450</v>
      </c>
      <c r="E213" s="29" t="s">
        <v>472</v>
      </c>
      <c r="F213" s="29">
        <v>3000</v>
      </c>
      <c r="G213" s="29">
        <v>432</v>
      </c>
      <c r="H213" s="48">
        <f>IFERROR(Линия10[[#This Row],[Кол-во]]/Линия10[[#This Row],[Шт. в поддоне]], "")</f>
        <v>6.9444444444444446</v>
      </c>
    </row>
    <row r="214" spans="1:8" x14ac:dyDescent="0.25">
      <c r="A214" s="78">
        <f t="shared" si="10"/>
        <v>46084.597853535357</v>
      </c>
      <c r="B214" s="79">
        <f>Линия10[[#This Row],[Дата начала]]+Линия10[[#This Row],[Длительность]]</f>
        <v>46084.639520202021</v>
      </c>
      <c r="C214" s="28">
        <f t="shared" si="11"/>
        <v>4.1666666666666664E-2</v>
      </c>
      <c r="D214" s="29"/>
      <c r="E214" s="29" t="s">
        <v>197</v>
      </c>
      <c r="F214" s="29"/>
      <c r="G214" s="29"/>
      <c r="H214" s="48" t="str">
        <f>IFERROR(Линия10[[#This Row],[Кол-во]]/Линия10[[#This Row],[Шт. в поддоне]], "")</f>
        <v/>
      </c>
    </row>
    <row r="215" spans="1:8" x14ac:dyDescent="0.25">
      <c r="A215" s="78">
        <f t="shared" si="10"/>
        <v>46084.639520202021</v>
      </c>
      <c r="B215" s="79">
        <f>Линия10[[#This Row],[Дата начала]]+Линия10[[#This Row],[Длительность]]</f>
        <v>46084.917297979802</v>
      </c>
      <c r="C215" s="28">
        <f t="shared" si="11"/>
        <v>0.27777777777777779</v>
      </c>
      <c r="D215" s="29">
        <v>450</v>
      </c>
      <c r="E215" s="29" t="s">
        <v>446</v>
      </c>
      <c r="F215" s="29">
        <v>3000</v>
      </c>
      <c r="G215" s="29">
        <v>432</v>
      </c>
      <c r="H215" s="48">
        <f>IFERROR(Линия10[[#This Row],[Кол-во]]/Линия10[[#This Row],[Шт. в поддоне]], "")</f>
        <v>6.9444444444444446</v>
      </c>
    </row>
    <row r="216" spans="1:8" x14ac:dyDescent="0.25">
      <c r="A216" s="78">
        <f t="shared" si="10"/>
        <v>46084.917297979802</v>
      </c>
      <c r="B216" s="79">
        <f>Линия10[[#This Row],[Дата начала]]+Линия10[[#This Row],[Длительность]]</f>
        <v>46084.979797979802</v>
      </c>
      <c r="C216" s="28">
        <f t="shared" si="11"/>
        <v>6.25E-2</v>
      </c>
      <c r="D216" s="29"/>
      <c r="E216" s="29" t="s">
        <v>153</v>
      </c>
      <c r="F216" s="29"/>
      <c r="G216" s="29"/>
      <c r="H216" s="48" t="str">
        <f>IFERROR(Линия10[[#This Row],[Кол-во]]/Линия10[[#This Row],[Шт. в поддоне]], "")</f>
        <v/>
      </c>
    </row>
    <row r="217" spans="1:8" x14ac:dyDescent="0.25">
      <c r="A217" s="78">
        <f t="shared" si="10"/>
        <v>46084.979797979802</v>
      </c>
      <c r="B217" s="79">
        <f>Линия10[[#This Row],[Дата начала]]+Линия10[[#This Row],[Длительность]]</f>
        <v>46085.257575757583</v>
      </c>
      <c r="C217" s="28">
        <f t="shared" si="11"/>
        <v>0.27777777777777779</v>
      </c>
      <c r="D217" s="29">
        <v>450</v>
      </c>
      <c r="E217" s="29" t="s">
        <v>442</v>
      </c>
      <c r="F217" s="29">
        <v>3000</v>
      </c>
      <c r="G217" s="29">
        <v>432</v>
      </c>
      <c r="H217" s="48">
        <f>IFERROR(Линия10[[#This Row],[Кол-во]]/Линия10[[#This Row],[Шт. в поддоне]], "")</f>
        <v>6.9444444444444446</v>
      </c>
    </row>
    <row r="218" spans="1:8" x14ac:dyDescent="0.25">
      <c r="A218" s="78">
        <f t="shared" si="10"/>
        <v>46085.257575757583</v>
      </c>
      <c r="B218" s="79">
        <f>Линия10[[#This Row],[Дата начала]]+Линия10[[#This Row],[Длительность]]</f>
        <v>46085.299242424247</v>
      </c>
      <c r="C218" s="28">
        <f t="shared" si="11"/>
        <v>4.1666666666666664E-2</v>
      </c>
      <c r="D218" s="29"/>
      <c r="E218" s="29" t="s">
        <v>197</v>
      </c>
      <c r="F218" s="29"/>
      <c r="G218" s="29"/>
      <c r="H218" s="48" t="str">
        <f>IFERROR(Линия10[[#This Row],[Кол-во]]/Линия10[[#This Row],[Шт. в поддоне]], "")</f>
        <v/>
      </c>
    </row>
    <row r="219" spans="1:8" x14ac:dyDescent="0.25">
      <c r="A219" s="78">
        <f t="shared" si="10"/>
        <v>46085.299242424247</v>
      </c>
      <c r="B219" s="79">
        <f>Линия10[[#This Row],[Дата начала]]+Линия10[[#This Row],[Длительность]]</f>
        <v>46085.577020202029</v>
      </c>
      <c r="C219" s="28">
        <f t="shared" si="11"/>
        <v>0.27777777777777779</v>
      </c>
      <c r="D219" s="29">
        <v>450</v>
      </c>
      <c r="E219" s="29" t="s">
        <v>480</v>
      </c>
      <c r="F219" s="29">
        <v>3000</v>
      </c>
      <c r="G219" s="29">
        <v>432</v>
      </c>
      <c r="H219" s="48">
        <f>IFERROR(Линия10[[#This Row],[Кол-во]]/Линия10[[#This Row],[Шт. в поддоне]], "")</f>
        <v>6.9444444444444446</v>
      </c>
    </row>
    <row r="220" spans="1:8" x14ac:dyDescent="0.25">
      <c r="A220" s="78">
        <f t="shared" si="10"/>
        <v>46085.577020202029</v>
      </c>
      <c r="B220" s="79">
        <f>Линия10[[#This Row],[Дата начала]]+Линия10[[#This Row],[Длительность]]</f>
        <v>46085.618686868693</v>
      </c>
      <c r="C220" s="28">
        <f t="shared" si="11"/>
        <v>4.1666666666666664E-2</v>
      </c>
      <c r="D220" s="29"/>
      <c r="E220" s="29" t="s">
        <v>197</v>
      </c>
      <c r="F220" s="29"/>
      <c r="G220" s="29"/>
      <c r="H220" s="48" t="str">
        <f>IFERROR(Линия10[[#This Row],[Кол-во]]/Линия10[[#This Row],[Шт. в поддоне]], "")</f>
        <v/>
      </c>
    </row>
    <row r="221" spans="1:8" x14ac:dyDescent="0.25">
      <c r="A221" s="78">
        <f t="shared" si="10"/>
        <v>46085.618686868693</v>
      </c>
      <c r="B221" s="79">
        <f>Линия10[[#This Row],[Дата начала]]+Линия10[[#This Row],[Длительность]]</f>
        <v>46085.896464646474</v>
      </c>
      <c r="C221" s="28">
        <f t="shared" si="11"/>
        <v>0.27777777777777779</v>
      </c>
      <c r="D221" s="29">
        <v>450</v>
      </c>
      <c r="E221" s="29" t="s">
        <v>477</v>
      </c>
      <c r="F221" s="29">
        <v>3000</v>
      </c>
      <c r="G221" s="29">
        <v>432</v>
      </c>
      <c r="H221" s="48">
        <f>IFERROR(Линия10[[#This Row],[Кол-во]]/Линия10[[#This Row],[Шт. в поддоне]], "")</f>
        <v>6.9444444444444446</v>
      </c>
    </row>
    <row r="222" spans="1:8" x14ac:dyDescent="0.25">
      <c r="A222" s="78">
        <f t="shared" si="10"/>
        <v>46085.896464646474</v>
      </c>
      <c r="B222" s="79">
        <f>Линия10[[#This Row],[Дата начала]]+Линия10[[#This Row],[Длительность]]</f>
        <v>46085.938131313138</v>
      </c>
      <c r="C222" s="28">
        <f t="shared" si="11"/>
        <v>4.1666666666666664E-2</v>
      </c>
      <c r="D222" s="29"/>
      <c r="E222" s="29" t="s">
        <v>197</v>
      </c>
      <c r="F222" s="29"/>
      <c r="G222" s="29"/>
      <c r="H222" s="48" t="str">
        <f>IFERROR(Линия10[[#This Row],[Кол-во]]/Линия10[[#This Row],[Шт. в поддоне]], "")</f>
        <v/>
      </c>
    </row>
    <row r="223" spans="1:8" x14ac:dyDescent="0.25">
      <c r="A223" s="78">
        <f t="shared" si="10"/>
        <v>46085.938131313138</v>
      </c>
      <c r="B223" s="79">
        <f>Линия10[[#This Row],[Дата начала]]+Линия10[[#This Row],[Длительность]]</f>
        <v>46086.215909090919</v>
      </c>
      <c r="C223" s="28">
        <f t="shared" si="11"/>
        <v>0.27777777777777779</v>
      </c>
      <c r="D223" s="29">
        <v>450</v>
      </c>
      <c r="E223" s="29" t="s">
        <v>445</v>
      </c>
      <c r="F223" s="29">
        <v>3000</v>
      </c>
      <c r="G223" s="29">
        <v>432</v>
      </c>
      <c r="H223" s="48">
        <f>IFERROR(Линия10[[#This Row],[Кол-во]]/Линия10[[#This Row],[Шт. в поддоне]], "")</f>
        <v>6.9444444444444446</v>
      </c>
    </row>
    <row r="224" spans="1:8" x14ac:dyDescent="0.25">
      <c r="A224" s="78">
        <f t="shared" si="10"/>
        <v>46086.215909090919</v>
      </c>
      <c r="B224" s="79">
        <f>Линия10[[#This Row],[Дата начала]]+Линия10[[#This Row],[Длительность]]</f>
        <v>46086.257575757583</v>
      </c>
      <c r="C224" s="28">
        <f t="shared" si="11"/>
        <v>4.1666666666666664E-2</v>
      </c>
      <c r="D224" s="29"/>
      <c r="E224" s="29" t="s">
        <v>197</v>
      </c>
      <c r="F224" s="29"/>
      <c r="G224" s="29"/>
      <c r="H224" s="48" t="str">
        <f>IFERROR(Линия10[[#This Row],[Кол-во]]/Линия10[[#This Row],[Шт. в поддоне]], "")</f>
        <v/>
      </c>
    </row>
    <row r="225" spans="1:8" x14ac:dyDescent="0.25">
      <c r="A225" s="78">
        <f t="shared" si="10"/>
        <v>46086.257575757583</v>
      </c>
      <c r="B225" s="79">
        <f>Линия10[[#This Row],[Дата начала]]+Линия10[[#This Row],[Длительность]]</f>
        <v>46086.813131313138</v>
      </c>
      <c r="C225" s="28">
        <f t="shared" si="11"/>
        <v>0.55555555555555558</v>
      </c>
      <c r="D225" s="29">
        <v>450</v>
      </c>
      <c r="E225" s="29" t="s">
        <v>468</v>
      </c>
      <c r="F225" s="29">
        <v>6000</v>
      </c>
      <c r="G225" s="29">
        <v>432</v>
      </c>
      <c r="H225" s="48">
        <f>IFERROR(Линия10[[#This Row],[Кол-во]]/Линия10[[#This Row],[Шт. в поддоне]], "")</f>
        <v>13.888888888888889</v>
      </c>
    </row>
    <row r="226" spans="1:8" x14ac:dyDescent="0.25">
      <c r="A226" s="78">
        <f t="shared" si="10"/>
        <v>46086.813131313138</v>
      </c>
      <c r="B226" s="79">
        <f>Линия10[[#This Row],[Дата начала]]+Линия10[[#This Row],[Длительность]]</f>
        <v>46086.875631313138</v>
      </c>
      <c r="C226" s="28">
        <f t="shared" si="11"/>
        <v>6.25E-2</v>
      </c>
      <c r="D226" s="29"/>
      <c r="E226" s="29" t="s">
        <v>153</v>
      </c>
      <c r="F226" s="29"/>
      <c r="G226" s="29"/>
      <c r="H226" s="48" t="str">
        <f>IFERROR(Линия10[[#This Row],[Кол-во]]/Линия10[[#This Row],[Шт. в поддоне]], "")</f>
        <v/>
      </c>
    </row>
    <row r="227" spans="1:8" x14ac:dyDescent="0.25">
      <c r="A227" s="78">
        <f t="shared" si="10"/>
        <v>46086.875631313138</v>
      </c>
      <c r="B227" s="79">
        <f>Линия10[[#This Row],[Дата начала]]+Линия10[[#This Row],[Длительность]]</f>
        <v>46087.847853535357</v>
      </c>
      <c r="C227" s="28">
        <f t="shared" si="11"/>
        <v>0.97222222222222221</v>
      </c>
      <c r="D227" s="29">
        <v>450</v>
      </c>
      <c r="E227" s="29" t="s">
        <v>461</v>
      </c>
      <c r="F227" s="29">
        <v>10500</v>
      </c>
      <c r="G227" s="29">
        <v>432</v>
      </c>
      <c r="H227" s="48">
        <f>IFERROR(Линия10[[#This Row],[Кол-во]]/Линия10[[#This Row],[Шт. в поддоне]], "")</f>
        <v>24.305555555555557</v>
      </c>
    </row>
    <row r="228" spans="1:8" x14ac:dyDescent="0.25">
      <c r="A228" s="78">
        <f t="shared" si="10"/>
        <v>46087.847853535357</v>
      </c>
      <c r="B228" s="79">
        <f>Линия10[[#This Row],[Дата начала]]+Линия10[[#This Row],[Длительность]]</f>
        <v>46087.889520202021</v>
      </c>
      <c r="C228" s="28">
        <f t="shared" si="11"/>
        <v>4.1666666666666664E-2</v>
      </c>
      <c r="D228" s="29"/>
      <c r="E228" s="29" t="s">
        <v>197</v>
      </c>
      <c r="F228" s="29"/>
      <c r="G228" s="29"/>
      <c r="H228" s="48" t="str">
        <f>IFERROR(Линия10[[#This Row],[Кол-во]]/Линия10[[#This Row],[Шт. в поддоне]], "")</f>
        <v/>
      </c>
    </row>
    <row r="229" spans="1:8" x14ac:dyDescent="0.25">
      <c r="A229" s="78">
        <f t="shared" si="10"/>
        <v>46087.889520202021</v>
      </c>
      <c r="B229" s="79">
        <f>Линия10[[#This Row],[Дата начала]]+Линия10[[#This Row],[Длительность]]</f>
        <v>46088.167297979802</v>
      </c>
      <c r="C229" s="28">
        <f t="shared" si="11"/>
        <v>0.27777777777777779</v>
      </c>
      <c r="D229" s="29">
        <v>450</v>
      </c>
      <c r="E229" s="29" t="s">
        <v>481</v>
      </c>
      <c r="F229" s="29">
        <v>3000</v>
      </c>
      <c r="G229" s="29">
        <v>432</v>
      </c>
      <c r="H229" s="48">
        <f>IFERROR(Линия10[[#This Row],[Кол-во]]/Линия10[[#This Row],[Шт. в поддоне]], "")</f>
        <v>6.9444444444444446</v>
      </c>
    </row>
    <row r="230" spans="1:8" x14ac:dyDescent="0.25">
      <c r="A230" s="78">
        <f t="shared" si="10"/>
        <v>46088.167297979802</v>
      </c>
      <c r="B230" s="79">
        <f>Линия10[[#This Row],[Дата начала]]+Линия10[[#This Row],[Длительность]]</f>
        <v>46088.208964646466</v>
      </c>
      <c r="C230" s="28">
        <f t="shared" si="11"/>
        <v>4.1666666666666664E-2</v>
      </c>
      <c r="D230" s="29"/>
      <c r="E230" s="29" t="s">
        <v>197</v>
      </c>
      <c r="F230" s="29"/>
      <c r="G230" s="29"/>
      <c r="H230" s="48" t="str">
        <f>IFERROR(Линия10[[#This Row],[Кол-во]]/Линия10[[#This Row],[Шт. в поддоне]], "")</f>
        <v/>
      </c>
    </row>
    <row r="231" spans="1:8" x14ac:dyDescent="0.25">
      <c r="A231" s="78">
        <f>B230</f>
        <v>46088.208964646466</v>
      </c>
      <c r="B231" s="79">
        <f>Линия10[[#This Row],[Дата начала]]+Линия10[[#This Row],[Длительность]]</f>
        <v>46088.486742424247</v>
      </c>
      <c r="C231" s="28">
        <f t="shared" si="11"/>
        <v>0.27777777777777779</v>
      </c>
      <c r="D231" s="29">
        <v>450</v>
      </c>
      <c r="E231" s="29" t="s">
        <v>482</v>
      </c>
      <c r="F231" s="29">
        <v>3000</v>
      </c>
      <c r="G231" s="29">
        <v>432</v>
      </c>
      <c r="H231" s="48">
        <f>IFERROR(Линия10[[#This Row],[Кол-во]]/Линия10[[#This Row],[Шт. в поддоне]], "")</f>
        <v>6.9444444444444446</v>
      </c>
    </row>
    <row r="232" spans="1:8" x14ac:dyDescent="0.25">
      <c r="A232" s="78">
        <f t="shared" si="10"/>
        <v>46088.486742424247</v>
      </c>
      <c r="B232" s="79">
        <f>Линия10[[#This Row],[Дата начала]]+Линия10[[#This Row],[Длительность]]</f>
        <v>46088.549242424247</v>
      </c>
      <c r="C232" s="28">
        <f t="shared" si="11"/>
        <v>6.25E-2</v>
      </c>
      <c r="D232" s="29"/>
      <c r="E232" s="29" t="s">
        <v>153</v>
      </c>
      <c r="F232" s="29"/>
      <c r="G232" s="29"/>
      <c r="H232" s="48" t="str">
        <f>IFERROR(Линия10[[#This Row],[Кол-во]]/Линия10[[#This Row],[Шт. в поддоне]], "")</f>
        <v/>
      </c>
    </row>
    <row r="233" spans="1:8" x14ac:dyDescent="0.25">
      <c r="A233" s="78">
        <f>B232</f>
        <v>46088.549242424247</v>
      </c>
      <c r="B233" s="79">
        <f>Линия10[[#This Row],[Дата начала]]+Линия10[[#This Row],[Длительность]]</f>
        <v>46089.104797979802</v>
      </c>
      <c r="C233" s="28">
        <f>IF(E233="Вытеснение",TIME(0,30,0),
IF(E233="Передача смены",TIME(0,20,0),
IF(E233="Запуск",TIME(0,10,0),
IF(E233="CIP 1",TIME(0,60,0),
IF(E233="CIP 2",TIME(0,90,0),
IF(E233="CIP 3",TIME(0,210,0),
IF(AND(ISNUMBER(F233),ISNUMBER(D233),D233&gt;0),F233/D233/24,"Ошибка")))))))</f>
        <v>0.55555555555555558</v>
      </c>
      <c r="D233" s="29">
        <v>450</v>
      </c>
      <c r="E233" s="29" t="s">
        <v>483</v>
      </c>
      <c r="F233" s="29">
        <v>6000</v>
      </c>
      <c r="G233" s="29">
        <v>432</v>
      </c>
      <c r="H233" s="48">
        <f>IFERROR(Линия10[[#This Row],[Кол-во]]/Линия10[[#This Row],[Шт. в поддоне]], "")</f>
        <v>13.888888888888889</v>
      </c>
    </row>
    <row r="234" spans="1:8" x14ac:dyDescent="0.25">
      <c r="A234" s="78">
        <f t="shared" si="10"/>
        <v>46089.104797979802</v>
      </c>
      <c r="B234" s="79">
        <f>Линия10[[#This Row],[Дата начала]]+Линия10[[#This Row],[Длительность]]</f>
        <v>46089.146464646466</v>
      </c>
      <c r="C234" s="28">
        <f t="shared" si="11"/>
        <v>4.1666666666666664E-2</v>
      </c>
      <c r="D234" s="29"/>
      <c r="E234" s="29" t="s">
        <v>197</v>
      </c>
      <c r="F234" s="29"/>
      <c r="G234" s="29"/>
      <c r="H234" s="48" t="str">
        <f>IFERROR(Линия10[[#This Row],[Кол-во]]/Линия10[[#This Row],[Шт. в поддоне]], "")</f>
        <v/>
      </c>
    </row>
    <row r="235" spans="1:8" x14ac:dyDescent="0.25">
      <c r="A235" s="78">
        <f t="shared" si="10"/>
        <v>46089.146464646466</v>
      </c>
      <c r="B235" s="79">
        <f>Линия10[[#This Row],[Дата начала]]+Линия10[[#This Row],[Длительность]]</f>
        <v>46089.702020202021</v>
      </c>
      <c r="C235" s="28">
        <f t="shared" si="11"/>
        <v>0.55555555555555558</v>
      </c>
      <c r="D235" s="29">
        <v>450</v>
      </c>
      <c r="E235" s="29" t="s">
        <v>484</v>
      </c>
      <c r="F235" s="29">
        <v>6000</v>
      </c>
      <c r="G235" s="29">
        <v>432</v>
      </c>
      <c r="H235" s="48">
        <f>IFERROR(Линия10[[#This Row],[Кол-во]]/Линия10[[#This Row],[Шт. в поддоне]], "")</f>
        <v>13.888888888888889</v>
      </c>
    </row>
    <row r="236" spans="1:8" x14ac:dyDescent="0.25">
      <c r="A236" s="78">
        <f>B235</f>
        <v>46089.702020202021</v>
      </c>
      <c r="B236" s="71">
        <f>Линия10[[#This Row],[Дата начала]]+Линия10[[#This Row],[Длительность]]</f>
        <v>46089.764520202021</v>
      </c>
      <c r="C236" s="33">
        <f t="shared" si="11"/>
        <v>6.25E-2</v>
      </c>
      <c r="D236" s="34"/>
      <c r="E236" s="34" t="s">
        <v>153</v>
      </c>
      <c r="F236" s="34"/>
      <c r="G236" s="34"/>
      <c r="H236" s="46" t="str">
        <f>IFERROR(Линия10[[#This Row],[Кол-во]]/Линия10[[#This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2921-2758-433D-9827-C697DBDDD63D}">
  <sheetPr codeName="Лист11">
    <pageSetUpPr fitToPage="1"/>
  </sheetPr>
  <dimension ref="A1:H39"/>
  <sheetViews>
    <sheetView zoomScale="85" zoomScaleNormal="85" workbookViewId="0">
      <selection activeCell="E52" sqref="E52"/>
    </sheetView>
  </sheetViews>
  <sheetFormatPr defaultRowHeight="13.8" x14ac:dyDescent="0.25"/>
  <cols>
    <col min="1" max="1" width="16.19921875" customWidth="1"/>
    <col min="2" max="2" width="18.09765625" customWidth="1"/>
    <col min="3" max="3" width="13.8984375" style="62" bestFit="1" customWidth="1"/>
    <col min="4" max="4" width="9.3984375" style="84" bestFit="1" customWidth="1"/>
    <col min="5" max="5" width="82.8984375" customWidth="1"/>
    <col min="6" max="6" width="11.5" bestFit="1" customWidth="1"/>
    <col min="7" max="8" width="16.59765625" bestFit="1" customWidth="1"/>
  </cols>
  <sheetData>
    <row r="1" spans="1:8" ht="20.399999999999999" x14ac:dyDescent="0.35">
      <c r="A1" s="165" t="s">
        <v>485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27" t="s">
        <v>145</v>
      </c>
      <c r="B2" s="128" t="s">
        <v>398</v>
      </c>
      <c r="C2" s="125" t="s">
        <v>147</v>
      </c>
      <c r="D2" s="104" t="s">
        <v>148</v>
      </c>
      <c r="E2" s="104" t="s">
        <v>149</v>
      </c>
      <c r="F2" s="104" t="s">
        <v>399</v>
      </c>
      <c r="G2" s="104" t="s">
        <v>151</v>
      </c>
      <c r="H2" s="105" t="s">
        <v>152</v>
      </c>
    </row>
    <row r="3" spans="1:8" hidden="1" x14ac:dyDescent="0.25">
      <c r="A3" s="78">
        <v>46037.416666666664</v>
      </c>
      <c r="B3" s="47">
        <f>Линия11[[#This Row],[Дата начала]]+Линия11[[#This Row],[Длительность]]</f>
        <v>46037.423611111109</v>
      </c>
      <c r="C3" s="28">
        <f t="shared" ref="C3:C4" si="0"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f>
        <v>6.9444444444444441E-3</v>
      </c>
      <c r="D3" s="29"/>
      <c r="E3" s="137" t="s">
        <v>163</v>
      </c>
      <c r="F3" s="138"/>
      <c r="G3" s="29"/>
      <c r="H3" s="31" t="str">
        <f>IFERROR(Линия11[[#This Row],[Кол-во]]/Линия11[[#This Row],[Шт. в поддоне]], "")</f>
        <v/>
      </c>
    </row>
    <row r="4" spans="1:8" hidden="1" x14ac:dyDescent="0.25">
      <c r="A4" s="126">
        <f>B3</f>
        <v>46037.423611111109</v>
      </c>
      <c r="B4" s="47">
        <f>Линия11[[#This Row],[Дата начала]]+Линия11[[#This Row],[Длительность]]</f>
        <v>46037.534722222219</v>
      </c>
      <c r="C4" s="28">
        <f t="shared" si="0"/>
        <v>0.1111111111111111</v>
      </c>
      <c r="D4" s="29">
        <v>3000</v>
      </c>
      <c r="E4" s="80" t="s">
        <v>486</v>
      </c>
      <c r="F4" s="49">
        <v>8000</v>
      </c>
      <c r="G4" s="29"/>
      <c r="H4" s="31" t="str">
        <f>IFERROR(Линия11[[#This Row],[Кол-во]]/Линия11[[#This Row],[Шт. в поддоне]], "")</f>
        <v/>
      </c>
    </row>
    <row r="5" spans="1:8" hidden="1" x14ac:dyDescent="0.25">
      <c r="A5" s="126">
        <f>B4</f>
        <v>46037.534722222219</v>
      </c>
      <c r="B5" s="47">
        <f>Линия11[[#This Row],[Дата начала]]+Линия11[[#This Row],[Длительность]]</f>
        <v>46037.576388888883</v>
      </c>
      <c r="C5" s="28">
        <f>IF(E5="Вытеснение",TIME(0,30,0),
IF(E5="Передача смены",TIME(0,20,0),
IF(E5="Запуск",TIME(0,10,0),
IF(E5="CIP 1",TIME(0,60,0),
IF(E5="CIP 2",TIME(0,90,0),
IF(E5="CIP 3",TIME(0,210,0),
IF(AND(ISNUMBER(F5),ISNUMBER(D5),D5&gt;0),F5/D5/24,"Ошибка")))))))</f>
        <v>4.1666666666666664E-2</v>
      </c>
      <c r="D5" s="29"/>
      <c r="E5" s="29" t="s">
        <v>197</v>
      </c>
      <c r="F5" s="49"/>
      <c r="G5" s="29"/>
      <c r="H5" s="31" t="str">
        <f>IFERROR(Линия11[[#This Row],[Кол-во]]/Линия11[[#This Row],[Шт. в поддоне]], "")</f>
        <v/>
      </c>
    </row>
    <row r="6" spans="1:8" hidden="1" x14ac:dyDescent="0.25">
      <c r="A6" s="126">
        <f>B5</f>
        <v>46037.576388888883</v>
      </c>
      <c r="B6" s="47">
        <f>Линия11[[#This Row],[Дата начала]]+Линия11[[#This Row],[Длительность]]</f>
        <v>46037.583333333328</v>
      </c>
      <c r="C6" s="28">
        <f>IF(E6="Вытеснение",TIME(0,30,0),
IF(E6="Передача смены",TIME(0,20,0),
IF(E6="Запуск",TIME(0,10,0),
IF(E6="CIP 1",TIME(0,60,0),
IF(E6="CIP 2",TIME(0,90,0),
IF(E6="CIP 3",TIME(0,210,0),
IF(AND(ISNUMBER(F6),ISNUMBER(D6),D6&gt;0),F6/D6/24,"Ошибка")))))))</f>
        <v>6.9444444444444441E-3</v>
      </c>
      <c r="D6" s="29"/>
      <c r="E6" s="29" t="s">
        <v>163</v>
      </c>
      <c r="F6" s="49"/>
      <c r="G6" s="29"/>
      <c r="H6" s="31" t="str">
        <f>IFERROR(Линия11[[#This Row],[Кол-во]]/Линия11[[#This Row],[Шт. в поддоне]], "")</f>
        <v/>
      </c>
    </row>
    <row r="7" spans="1:8" hidden="1" x14ac:dyDescent="0.25">
      <c r="A7" s="126">
        <v>46043.333333333336</v>
      </c>
      <c r="B7" s="47">
        <f>Линия11[[#This Row],[Дата начала]]+Линия11[[#This Row],[Длительность]]</f>
        <v>46043.444444444445</v>
      </c>
      <c r="C7" s="28">
        <f>IF(E7="Вытеснение",TIME(0,30,0),
IF(E7="Передача смены",TIME(0,20,0),
IF(E7="Запуск",TIME(0,10,0),
IF(E7="CIP 1",TIME(0,60,0),
IF(E7="CIP 2",TIME(0,90,0),
IF(E7="CIP 3",TIME(0,210,0),
IF(AND(ISNUMBER(F7),ISNUMBER(D7),D7&gt;0),F7/D7/24,"Ошибка")))))))</f>
        <v>0.1111111111111111</v>
      </c>
      <c r="D7" s="29">
        <v>3000</v>
      </c>
      <c r="E7" s="80" t="s">
        <v>487</v>
      </c>
      <c r="F7" s="49">
        <v>8000</v>
      </c>
      <c r="G7" s="29"/>
      <c r="H7" s="31" t="str">
        <f>IFERROR(Линия11[[#This Row],[Кол-во]]/Линия11[[#This Row],[Шт. в поддоне]], "")</f>
        <v/>
      </c>
    </row>
    <row r="8" spans="1:8" hidden="1" x14ac:dyDescent="0.25">
      <c r="A8" s="126">
        <f>B7</f>
        <v>46043.444444444445</v>
      </c>
      <c r="B8" s="47">
        <f>Линия11[[#This Row],[Дата начала]]+Линия11[[#This Row],[Длительность]]</f>
        <v>46043.486111111109</v>
      </c>
      <c r="C8" s="28">
        <f>IF(E8="Вытеснение",TIME(0,30,0),
IF(E8="Передача смены",TIME(0,20,0),
IF(E8="Запуск",TIME(0,10,0),
IF(E8="CIP 1",TIME(0,60,0),
IF(E8="CIP 2",TIME(0,90,0),
IF(E8="CIP 3",TIME(0,210,0),
IF(AND(ISNUMBER(F8),ISNUMBER(D8),D8&gt;0),F8/D8/24,"Ошибка")))))))</f>
        <v>4.1666666666666664E-2</v>
      </c>
      <c r="D8" s="29"/>
      <c r="E8" s="29" t="s">
        <v>197</v>
      </c>
      <c r="F8" s="49"/>
      <c r="G8" s="29"/>
      <c r="H8" s="31" t="str">
        <f>IFERROR(Линия11[[#This Row],[Кол-во]]/Линия11[[#This Row],[Шт. в поддоне]], "")</f>
        <v/>
      </c>
    </row>
    <row r="9" spans="1:8" hidden="1" x14ac:dyDescent="0.25">
      <c r="A9" s="126">
        <f>B8</f>
        <v>46043.486111111109</v>
      </c>
      <c r="B9" s="47">
        <f>Линия11[[#This Row],[Дата начала]]+Линия11[[#This Row],[Длительность]]</f>
        <v>46043.493055555555</v>
      </c>
      <c r="C9" s="28">
        <f>IF(E9="Вытеснение",TIME(0,30,0),
IF(E9="Передача смены",TIME(0,20,0),
IF(E9="Запуск",TIME(0,10,0),
IF(E9="CIP 1",TIME(0,60,0),
IF(E9="CIP 2",TIME(0,90,0),
IF(E9="CIP 3",TIME(0,210,0),
IF(AND(ISNUMBER(F9),ISNUMBER(D9),D9&gt;0),F9/D9/24,"Ошибка")))))))</f>
        <v>6.9444444444444441E-3</v>
      </c>
      <c r="D9" s="29"/>
      <c r="E9" s="29" t="s">
        <v>163</v>
      </c>
      <c r="F9" s="49"/>
      <c r="G9" s="29"/>
      <c r="H9" s="31" t="str">
        <f>IFERROR(Линия11[[#This Row],[Кол-во]]/Линия11[[#This Row],[Шт. в поддоне]], "")</f>
        <v/>
      </c>
    </row>
    <row r="10" spans="1:8" hidden="1" x14ac:dyDescent="0.25">
      <c r="A10" s="78"/>
      <c r="B10" s="79" t="e">
        <f>Линия11[[#This Row],[Дата начала]]+Линия11[[#This Row],[Длительность]]</f>
        <v>#VALUE!</v>
      </c>
      <c r="C10" s="28" t="str">
        <f t="shared" ref="C10" si="1">IF(E10="Вытеснение",TIME(0,30,0),
IF(E10="Передача смены",TIME(0,20,0),
IF(E10="Запуск",TIME(0,10,0),
IF(E10="CIP 1",TIME(0,60,0),
IF(E10="CIP 2",TIME(0,90,0),
IF(E10="CIP 3",TIME(0,210,0),
IF(AND(ISNUMBER(F10),ISNUMBER(D10),D10&gt;0),F10/D10/24,"Ошибка")))))))</f>
        <v>Ошибка</v>
      </c>
      <c r="D10" s="29"/>
      <c r="E10" s="29"/>
      <c r="F10" s="29"/>
      <c r="G10" s="29"/>
      <c r="H10" s="31" t="str">
        <f>IFERROR(Линия11[[#This Row],[Кол-во]]/Линия11[[#This Row],[Шт. в поддоне]], "")</f>
        <v/>
      </c>
    </row>
    <row r="11" spans="1:8" hidden="1" x14ac:dyDescent="0.25">
      <c r="A11" s="126">
        <v>46042.416666666664</v>
      </c>
      <c r="B11" s="47">
        <f>Линия11[[#This Row],[Дата начала]]+Линия11[[#This Row],[Длительность]]</f>
        <v>46042.527777777774</v>
      </c>
      <c r="C11" s="28">
        <f>IF(E11="Вытеснение",TIME(0,30,0),
IF(E11="Передача смены",TIME(0,20,0),
IF(E11="Запуск",TIME(0,10,0),
IF(E11="CIP 1",TIME(0,60,0),
IF(E11="CIP 2",TIME(0,90,0),
IF(E11="CIP 3",TIME(0,210,0),
IF(AND(ISNUMBER(F11),ISNUMBER(D11),D11&gt;0),F11/D11/24,"Ошибка")))))))</f>
        <v>0.1111111111111111</v>
      </c>
      <c r="D11" s="29">
        <v>3000</v>
      </c>
      <c r="E11" s="80" t="s">
        <v>488</v>
      </c>
      <c r="F11" s="49">
        <v>8000</v>
      </c>
      <c r="G11" s="29"/>
      <c r="H11" s="31" t="str">
        <f>IFERROR(Линия11[[#This Row],[Кол-во]]/Линия11[[#This Row],[Шт. в поддоне]], "")</f>
        <v/>
      </c>
    </row>
    <row r="12" spans="1:8" hidden="1" x14ac:dyDescent="0.25">
      <c r="A12" s="126">
        <f>B11</f>
        <v>46042.527777777774</v>
      </c>
      <c r="B12" s="47">
        <f>Линия11[[#This Row],[Дата начала]]+Линия11[[#This Row],[Длительность]]</f>
        <v>46042.569444444438</v>
      </c>
      <c r="C12" s="28">
        <f>IF(E12="Вытеснение",TIME(0,30,0),
IF(E12="Передача смены",TIME(0,20,0),
IF(E12="Запуск",TIME(0,10,0),
IF(E12="CIP 1",TIME(0,60,0),
IF(E12="CIP 2",TIME(0,90,0),
IF(E12="CIP 3",TIME(0,210,0),
IF(AND(ISNUMBER(F12),ISNUMBER(D12),D12&gt;0),F12/D12/24,"Ошибка")))))))</f>
        <v>4.1666666666666664E-2</v>
      </c>
      <c r="D12" s="29"/>
      <c r="E12" s="29" t="s">
        <v>197</v>
      </c>
      <c r="F12" s="49"/>
      <c r="G12" s="29"/>
      <c r="H12" s="31" t="str">
        <f>IFERROR(Линия11[[#This Row],[Кол-во]]/Линия11[[#This Row],[Шт. в поддоне]], "")</f>
        <v/>
      </c>
    </row>
    <row r="13" spans="1:8" hidden="1" x14ac:dyDescent="0.25">
      <c r="A13" s="126">
        <f t="shared" ref="A13:A28" si="2">B12</f>
        <v>46042.569444444438</v>
      </c>
      <c r="B13" s="47">
        <f>Линия11[[#This Row],[Дата начала]]+Линия11[[#This Row],[Длительность]]</f>
        <v>46042.576388888883</v>
      </c>
      <c r="C13" s="28">
        <f t="shared" ref="C13:C39" si="3">IF(E13="Вытеснение",TIME(0,30,0),
IF(E13="Передача смены",TIME(0,20,0),
IF(E13="Запуск",TIME(0,10,0),
IF(E13="CIP 1",TIME(0,60,0),
IF(E13="CIP 2",TIME(0,90,0),
IF(E13="CIP 3",TIME(0,210,0),
IF(AND(ISNUMBER(F13),ISNUMBER(D13),D13&gt;0),F13/D13/24,"Ошибка")))))))</f>
        <v>6.9444444444444441E-3</v>
      </c>
      <c r="D13" s="29"/>
      <c r="E13" s="29" t="s">
        <v>163</v>
      </c>
      <c r="F13" s="49"/>
      <c r="G13" s="29"/>
      <c r="H13" s="31" t="str">
        <f>IFERROR(Линия11[[#This Row],[Кол-во]]/Линия11[[#This Row],[Шт. в поддоне]], "")</f>
        <v/>
      </c>
    </row>
    <row r="14" spans="1:8" hidden="1" x14ac:dyDescent="0.25">
      <c r="A14" s="126">
        <f t="shared" si="2"/>
        <v>46042.576388888883</v>
      </c>
      <c r="B14" s="47">
        <f>Линия11[[#This Row],[Дата начала]]+Линия11[[#This Row],[Длительность]]</f>
        <v>46042.687499999993</v>
      </c>
      <c r="C14" s="28">
        <f t="shared" si="3"/>
        <v>0.1111111111111111</v>
      </c>
      <c r="D14" s="29">
        <v>3000</v>
      </c>
      <c r="E14" s="80" t="s">
        <v>489</v>
      </c>
      <c r="F14" s="49">
        <v>8000</v>
      </c>
      <c r="G14" s="29"/>
      <c r="H14" s="31" t="str">
        <f>IFERROR(Линия11[[#This Row],[Кол-во]]/Линия11[[#This Row],[Шт. в поддоне]], "")</f>
        <v/>
      </c>
    </row>
    <row r="15" spans="1:8" hidden="1" x14ac:dyDescent="0.25">
      <c r="A15" s="126">
        <f t="shared" si="2"/>
        <v>46042.687499999993</v>
      </c>
      <c r="B15" s="47">
        <f>Линия11[[#This Row],[Дата начала]]+Линия11[[#This Row],[Длительность]]</f>
        <v>46042.729166666657</v>
      </c>
      <c r="C15" s="28">
        <f t="shared" si="3"/>
        <v>4.1666666666666664E-2</v>
      </c>
      <c r="D15" s="29"/>
      <c r="E15" s="29" t="s">
        <v>197</v>
      </c>
      <c r="F15" s="49"/>
      <c r="G15" s="29"/>
      <c r="H15" s="31" t="str">
        <f>IFERROR(Линия11[[#This Row],[Кол-во]]/Линия11[[#This Row],[Шт. в поддоне]], "")</f>
        <v/>
      </c>
    </row>
    <row r="16" spans="1:8" hidden="1" x14ac:dyDescent="0.25">
      <c r="A16" s="126">
        <f t="shared" si="2"/>
        <v>46042.729166666657</v>
      </c>
      <c r="B16" s="47">
        <f>Линия11[[#This Row],[Дата начала]]+Линия11[[#This Row],[Длительность]]</f>
        <v>46042.736111111102</v>
      </c>
      <c r="C16" s="28">
        <f t="shared" si="3"/>
        <v>6.9444444444444441E-3</v>
      </c>
      <c r="D16" s="29"/>
      <c r="E16" s="29" t="s">
        <v>163</v>
      </c>
      <c r="F16" s="49"/>
      <c r="G16" s="29"/>
      <c r="H16" s="31" t="str">
        <f>IFERROR(Линия11[[#This Row],[Кол-во]]/Линия11[[#This Row],[Шт. в поддоне]], "")</f>
        <v/>
      </c>
    </row>
    <row r="17" spans="1:8" hidden="1" x14ac:dyDescent="0.25">
      <c r="A17" s="126">
        <v>46043.333333333336</v>
      </c>
      <c r="B17" s="47">
        <f>Линия11[[#This Row],[Дата начала]]+Линия11[[#This Row],[Длительность]]</f>
        <v>46043.444444444445</v>
      </c>
      <c r="C17" s="28">
        <f t="shared" si="3"/>
        <v>0.1111111111111111</v>
      </c>
      <c r="D17" s="29">
        <v>3000</v>
      </c>
      <c r="E17" s="80" t="s">
        <v>490</v>
      </c>
      <c r="F17" s="49">
        <v>8000</v>
      </c>
      <c r="G17" s="29"/>
      <c r="H17" s="31" t="str">
        <f>IFERROR(Линия11[[#This Row],[Кол-во]]/Линия11[[#This Row],[Шт. в поддоне]], "")</f>
        <v/>
      </c>
    </row>
    <row r="18" spans="1:8" hidden="1" x14ac:dyDescent="0.25">
      <c r="A18" s="126">
        <f t="shared" si="2"/>
        <v>46043.444444444445</v>
      </c>
      <c r="B18" s="47">
        <f>Линия11[[#This Row],[Дата начала]]+Линия11[[#This Row],[Длительность]]</f>
        <v>46043.486111111109</v>
      </c>
      <c r="C18" s="28">
        <f t="shared" si="3"/>
        <v>4.1666666666666664E-2</v>
      </c>
      <c r="D18" s="29"/>
      <c r="E18" s="29" t="s">
        <v>197</v>
      </c>
      <c r="F18" s="49"/>
      <c r="G18" s="29"/>
      <c r="H18" s="31" t="str">
        <f>IFERROR(Линия11[[#This Row],[Кол-во]]/Линия11[[#This Row],[Шт. в поддоне]], "")</f>
        <v/>
      </c>
    </row>
    <row r="19" spans="1:8" hidden="1" x14ac:dyDescent="0.25">
      <c r="A19" s="126">
        <f t="shared" si="2"/>
        <v>46043.486111111109</v>
      </c>
      <c r="B19" s="47">
        <f>Линия11[[#This Row],[Дата начала]]+Линия11[[#This Row],[Длительность]]</f>
        <v>46043.493055555555</v>
      </c>
      <c r="C19" s="28">
        <f t="shared" si="3"/>
        <v>6.9444444444444441E-3</v>
      </c>
      <c r="D19" s="29"/>
      <c r="E19" s="29" t="s">
        <v>163</v>
      </c>
      <c r="F19" s="49"/>
      <c r="G19" s="29"/>
      <c r="H19" s="31" t="str">
        <f>IFERROR(Линия11[[#This Row],[Кол-во]]/Линия11[[#This Row],[Шт. в поддоне]], "")</f>
        <v/>
      </c>
    </row>
    <row r="20" spans="1:8" hidden="1" x14ac:dyDescent="0.25">
      <c r="A20" s="126">
        <f t="shared" si="2"/>
        <v>46043.493055555555</v>
      </c>
      <c r="B20" s="47">
        <f>Линия11[[#This Row],[Дата начала]]+Линия11[[#This Row],[Длительность]]</f>
        <v>46043.604166666664</v>
      </c>
      <c r="C20" s="28">
        <f t="shared" si="3"/>
        <v>0.1111111111111111</v>
      </c>
      <c r="D20" s="29">
        <v>3000</v>
      </c>
      <c r="E20" s="80" t="s">
        <v>491</v>
      </c>
      <c r="F20" s="49">
        <v>8000</v>
      </c>
      <c r="G20" s="29"/>
      <c r="H20" s="31" t="str">
        <f>IFERROR(Линия11[[#This Row],[Кол-во]]/Линия11[[#This Row],[Шт. в поддоне]], "")</f>
        <v/>
      </c>
    </row>
    <row r="21" spans="1:8" hidden="1" x14ac:dyDescent="0.25">
      <c r="A21" s="126">
        <f t="shared" si="2"/>
        <v>46043.604166666664</v>
      </c>
      <c r="B21" s="47">
        <f>Линия11[[#This Row],[Дата начала]]+Линия11[[#This Row],[Длительность]]</f>
        <v>46043.645833333328</v>
      </c>
      <c r="C21" s="28">
        <f t="shared" si="3"/>
        <v>4.1666666666666664E-2</v>
      </c>
      <c r="D21" s="29"/>
      <c r="E21" s="29" t="s">
        <v>197</v>
      </c>
      <c r="F21" s="49"/>
      <c r="G21" s="29"/>
      <c r="H21" s="31" t="str">
        <f>IFERROR(Линия11[[#This Row],[Кол-во]]/Линия11[[#This Row],[Шт. в поддоне]], "")</f>
        <v/>
      </c>
    </row>
    <row r="22" spans="1:8" hidden="1" x14ac:dyDescent="0.25">
      <c r="A22" s="126">
        <v>46044.458333333336</v>
      </c>
      <c r="B22" s="47">
        <f>Линия11[[#This Row],[Дата начала]]+Линия11[[#This Row],[Длительность]]</f>
        <v>46044.465277777781</v>
      </c>
      <c r="C22" s="28">
        <f t="shared" si="3"/>
        <v>6.9444444444444441E-3</v>
      </c>
      <c r="D22" s="29"/>
      <c r="E22" s="29" t="s">
        <v>163</v>
      </c>
      <c r="F22" s="49"/>
      <c r="G22" s="29"/>
      <c r="H22" s="31" t="str">
        <f>IFERROR(Линия11[[#This Row],[Кол-во]]/Линия11[[#This Row],[Шт. в поддоне]], "")</f>
        <v/>
      </c>
    </row>
    <row r="23" spans="1:8" hidden="1" x14ac:dyDescent="0.25">
      <c r="A23" s="126">
        <f t="shared" si="2"/>
        <v>46044.465277777781</v>
      </c>
      <c r="B23" s="47">
        <f>Линия11[[#This Row],[Дата начала]]+Линия11[[#This Row],[Длительность]]</f>
        <v>46044.576388888891</v>
      </c>
      <c r="C23" s="28">
        <f t="shared" si="3"/>
        <v>0.1111111111111111</v>
      </c>
      <c r="D23" s="29">
        <v>3000</v>
      </c>
      <c r="E23" s="29" t="s">
        <v>492</v>
      </c>
      <c r="F23" s="49">
        <v>8000</v>
      </c>
      <c r="G23" s="29"/>
      <c r="H23" s="31" t="str">
        <f>IFERROR(Линия11[[#This Row],[Кол-во]]/Линия11[[#This Row],[Шт. в поддоне]], "")</f>
        <v/>
      </c>
    </row>
    <row r="24" spans="1:8" hidden="1" x14ac:dyDescent="0.25">
      <c r="A24" s="126">
        <f t="shared" si="2"/>
        <v>46044.576388888891</v>
      </c>
      <c r="B24" s="47">
        <f>Линия11[[#This Row],[Дата начала]]+Линия11[[#This Row],[Длительность]]</f>
        <v>46044.618055555555</v>
      </c>
      <c r="C24" s="28">
        <f t="shared" si="3"/>
        <v>4.1666666666666664E-2</v>
      </c>
      <c r="D24" s="29"/>
      <c r="E24" s="29" t="s">
        <v>197</v>
      </c>
      <c r="F24" s="49"/>
      <c r="G24" s="29"/>
      <c r="H24" s="31" t="str">
        <f>IFERROR(Линия11[[#This Row],[Кол-во]]/Линия11[[#This Row],[Шт. в поддоне]], "")</f>
        <v/>
      </c>
    </row>
    <row r="25" spans="1:8" hidden="1" x14ac:dyDescent="0.25">
      <c r="A25" s="126">
        <f t="shared" si="2"/>
        <v>46044.618055555555</v>
      </c>
      <c r="B25" s="47">
        <f>Линия11[[#This Row],[Дата начала]]+Линия11[[#This Row],[Длительность]]</f>
        <v>46044.625</v>
      </c>
      <c r="C25" s="28">
        <f t="shared" si="3"/>
        <v>6.9444444444444441E-3</v>
      </c>
      <c r="D25" s="29"/>
      <c r="E25" s="29" t="s">
        <v>163</v>
      </c>
      <c r="F25" s="49"/>
      <c r="G25" s="29"/>
      <c r="H25" s="31" t="str">
        <f>IFERROR(Линия11[[#This Row],[Кол-во]]/Линия11[[#This Row],[Шт. в поддоне]], "")</f>
        <v/>
      </c>
    </row>
    <row r="26" spans="1:8" hidden="1" x14ac:dyDescent="0.25">
      <c r="A26" s="126">
        <f t="shared" si="2"/>
        <v>46044.625</v>
      </c>
      <c r="B26" s="47">
        <f>Линия11[[#This Row],[Дата начала]]+Линия11[[#This Row],[Длительность]]</f>
        <v>46044.736111111109</v>
      </c>
      <c r="C26" s="28">
        <f t="shared" si="3"/>
        <v>0.1111111111111111</v>
      </c>
      <c r="D26" s="29">
        <v>3000</v>
      </c>
      <c r="E26" s="29" t="s">
        <v>493</v>
      </c>
      <c r="F26" s="49">
        <v>8000</v>
      </c>
      <c r="G26" s="29"/>
      <c r="H26" s="31" t="str">
        <f>IFERROR(Линия11[[#This Row],[Кол-во]]/Линия11[[#This Row],[Шт. в поддоне]], "")</f>
        <v/>
      </c>
    </row>
    <row r="27" spans="1:8" hidden="1" x14ac:dyDescent="0.25">
      <c r="A27" s="126">
        <f t="shared" si="2"/>
        <v>46044.736111111109</v>
      </c>
      <c r="B27" s="47">
        <f>Линия11[[#This Row],[Дата начала]]+Линия11[[#This Row],[Длительность]]</f>
        <v>46044.777777777774</v>
      </c>
      <c r="C27" s="28">
        <f t="shared" si="3"/>
        <v>4.1666666666666664E-2</v>
      </c>
      <c r="D27" s="29"/>
      <c r="E27" s="29" t="s">
        <v>197</v>
      </c>
      <c r="F27" s="49"/>
      <c r="G27" s="29"/>
      <c r="H27" s="31" t="str">
        <f>IFERROR(Линия11[[#This Row],[Кол-во]]/Линия11[[#This Row],[Шт. в поддоне]], "")</f>
        <v/>
      </c>
    </row>
    <row r="28" spans="1:8" hidden="1" x14ac:dyDescent="0.25">
      <c r="A28" s="126">
        <f t="shared" si="2"/>
        <v>46044.777777777774</v>
      </c>
      <c r="B28" s="47">
        <f>Линия11[[#This Row],[Дата начала]]+Линия11[[#This Row],[Длительность]]</f>
        <v>46044.784722222219</v>
      </c>
      <c r="C28" s="28">
        <f t="shared" si="3"/>
        <v>6.9444444444444441E-3</v>
      </c>
      <c r="D28" s="29"/>
      <c r="E28" s="29" t="s">
        <v>163</v>
      </c>
      <c r="F28" s="49"/>
      <c r="G28" s="29"/>
      <c r="H28" s="31" t="str">
        <f>IFERROR(Линия11[[#This Row],[Кол-во]]/Линия11[[#This Row],[Шт. в поддоне]], "")</f>
        <v/>
      </c>
    </row>
    <row r="29" spans="1:8" hidden="1" x14ac:dyDescent="0.25">
      <c r="A29" s="126">
        <v>46045.333333333336</v>
      </c>
      <c r="B29" s="47">
        <f>Линия11[[#This Row],[Дата начала]]+Линия11[[#This Row],[Длительность]]</f>
        <v>46045.444444444445</v>
      </c>
      <c r="C29" s="28">
        <f t="shared" si="3"/>
        <v>0.1111111111111111</v>
      </c>
      <c r="D29" s="29">
        <v>3000</v>
      </c>
      <c r="E29" s="29" t="s">
        <v>494</v>
      </c>
      <c r="F29" s="49">
        <v>8000</v>
      </c>
      <c r="G29" s="29"/>
      <c r="H29" s="31" t="str">
        <f>IFERROR(Линия11[[#This Row],[Кол-во]]/Линия11[[#This Row],[Шт. в поддоне]], "")</f>
        <v/>
      </c>
    </row>
    <row r="30" spans="1:8" hidden="1" x14ac:dyDescent="0.25">
      <c r="A30" s="126">
        <f t="shared" ref="A30:A39" si="4">B29</f>
        <v>46045.444444444445</v>
      </c>
      <c r="B30" s="47">
        <f>Линия11[[#This Row],[Дата начала]]+Линия11[[#This Row],[Длительность]]</f>
        <v>46045.486111111109</v>
      </c>
      <c r="C30" s="28">
        <f t="shared" si="3"/>
        <v>4.1666666666666664E-2</v>
      </c>
      <c r="D30" s="29"/>
      <c r="E30" s="29" t="s">
        <v>197</v>
      </c>
      <c r="F30" s="49"/>
      <c r="G30" s="29"/>
      <c r="H30" s="31" t="str">
        <f>IFERROR(Линия11[[#This Row],[Кол-во]]/Линия11[[#This Row],[Шт. в поддоне]], "")</f>
        <v/>
      </c>
    </row>
    <row r="31" spans="1:8" hidden="1" x14ac:dyDescent="0.25">
      <c r="A31" s="126">
        <f t="shared" si="4"/>
        <v>46045.486111111109</v>
      </c>
      <c r="B31" s="47">
        <f>Линия11[[#This Row],[Дата начала]]+Линия11[[#This Row],[Длительность]]</f>
        <v>46045.493055555555</v>
      </c>
      <c r="C31" s="28">
        <f t="shared" si="3"/>
        <v>6.9444444444444441E-3</v>
      </c>
      <c r="D31" s="29"/>
      <c r="E31" s="29" t="s">
        <v>163</v>
      </c>
      <c r="F31" s="49"/>
      <c r="G31" s="29"/>
      <c r="H31" s="31" t="str">
        <f>IFERROR(Линия11[[#This Row],[Кол-во]]/Линия11[[#This Row],[Шт. в поддоне]], "")</f>
        <v/>
      </c>
    </row>
    <row r="32" spans="1:8" hidden="1" x14ac:dyDescent="0.25">
      <c r="A32" s="126">
        <f t="shared" si="4"/>
        <v>46045.493055555555</v>
      </c>
      <c r="B32" s="47">
        <f>Линия11[[#This Row],[Дата начала]]+Линия11[[#This Row],[Длительность]]</f>
        <v>46045.604166666664</v>
      </c>
      <c r="C32" s="28">
        <f t="shared" si="3"/>
        <v>0.1111111111111111</v>
      </c>
      <c r="D32" s="29">
        <v>3000</v>
      </c>
      <c r="E32" s="29" t="s">
        <v>495</v>
      </c>
      <c r="F32" s="49">
        <v>8000</v>
      </c>
      <c r="G32" s="29"/>
      <c r="H32" s="31" t="str">
        <f>IFERROR(Линия11[[#This Row],[Кол-во]]/Линия11[[#This Row],[Шт. в поддоне]], "")</f>
        <v/>
      </c>
    </row>
    <row r="33" spans="1:8" hidden="1" x14ac:dyDescent="0.25">
      <c r="A33" s="126">
        <f t="shared" si="4"/>
        <v>46045.604166666664</v>
      </c>
      <c r="B33" s="47">
        <f>Линия11[[#This Row],[Дата начала]]+Линия11[[#This Row],[Длительность]]</f>
        <v>46045.645833333328</v>
      </c>
      <c r="C33" s="28">
        <f t="shared" si="3"/>
        <v>4.1666666666666664E-2</v>
      </c>
      <c r="D33" s="29"/>
      <c r="E33" s="29" t="s">
        <v>197</v>
      </c>
      <c r="F33" s="49"/>
      <c r="G33" s="29"/>
      <c r="H33" s="31" t="str">
        <f>IFERROR(Линия11[[#This Row],[Кол-во]]/Линия11[[#This Row],[Шт. в поддоне]], "")</f>
        <v/>
      </c>
    </row>
    <row r="34" spans="1:8" hidden="1" x14ac:dyDescent="0.25">
      <c r="A34" s="126">
        <f t="shared" si="4"/>
        <v>46045.645833333328</v>
      </c>
      <c r="B34" s="47">
        <f>Линия11[[#This Row],[Дата начала]]+Линия11[[#This Row],[Длительность]]</f>
        <v>46045.652777777774</v>
      </c>
      <c r="C34" s="28">
        <f t="shared" si="3"/>
        <v>6.9444444444444441E-3</v>
      </c>
      <c r="D34" s="29"/>
      <c r="E34" s="29" t="s">
        <v>163</v>
      </c>
      <c r="F34" s="49"/>
      <c r="G34" s="29"/>
      <c r="H34" s="31" t="str">
        <f>IFERROR(Линия11[[#This Row],[Кол-во]]/Линия11[[#This Row],[Шт. в поддоне]], "")</f>
        <v/>
      </c>
    </row>
    <row r="35" spans="1:8" hidden="1" x14ac:dyDescent="0.25">
      <c r="A35" s="126">
        <f t="shared" si="4"/>
        <v>46045.652777777774</v>
      </c>
      <c r="B35" s="47">
        <f>Линия11[[#This Row],[Дата начала]]+Линия11[[#This Row],[Длительность]]</f>
        <v>46045.763888888883</v>
      </c>
      <c r="C35" s="28">
        <f t="shared" si="3"/>
        <v>0.1111111111111111</v>
      </c>
      <c r="D35" s="29">
        <v>3000</v>
      </c>
      <c r="E35" s="29" t="s">
        <v>496</v>
      </c>
      <c r="F35" s="49">
        <v>8000</v>
      </c>
      <c r="G35" s="29"/>
      <c r="H35" s="31" t="str">
        <f>IFERROR(Линия11[[#This Row],[Кол-во]]/Линия11[[#This Row],[Шт. в поддоне]], "")</f>
        <v/>
      </c>
    </row>
    <row r="36" spans="1:8" hidden="1" x14ac:dyDescent="0.25">
      <c r="A36" s="126">
        <f t="shared" si="4"/>
        <v>46045.763888888883</v>
      </c>
      <c r="B36" s="47">
        <f>Линия11[[#This Row],[Дата начала]]+Линия11[[#This Row],[Длительность]]</f>
        <v>46045.805555555547</v>
      </c>
      <c r="C36" s="28">
        <f t="shared" si="3"/>
        <v>4.1666666666666664E-2</v>
      </c>
      <c r="D36" s="29"/>
      <c r="E36" s="29" t="s">
        <v>197</v>
      </c>
      <c r="F36" s="29"/>
      <c r="G36" s="29"/>
      <c r="H36" s="31" t="str">
        <f>IFERROR(Линия11[[#This Row],[Кол-во]]/Линия11[[#This Row],[Шт. в поддоне]], "")</f>
        <v/>
      </c>
    </row>
    <row r="37" spans="1:8" hidden="1" x14ac:dyDescent="0.25">
      <c r="A37" s="126">
        <f t="shared" si="4"/>
        <v>46045.805555555547</v>
      </c>
      <c r="B37" s="47">
        <f>Линия11[[#This Row],[Дата начала]]+Линия11[[#This Row],[Длительность]]</f>
        <v>46045.812499999993</v>
      </c>
      <c r="C37" s="28">
        <f t="shared" si="3"/>
        <v>6.9444444444444441E-3</v>
      </c>
      <c r="D37" s="29"/>
      <c r="E37" s="29" t="s">
        <v>163</v>
      </c>
      <c r="F37" s="29"/>
      <c r="G37" s="29"/>
      <c r="H37" s="31" t="str">
        <f>IFERROR(Линия11[[#This Row],[Кол-во]]/Линия11[[#This Row],[Шт. в поддоне]], "")</f>
        <v/>
      </c>
    </row>
    <row r="38" spans="1:8" hidden="1" x14ac:dyDescent="0.25">
      <c r="A38" s="126">
        <v>46048.416666666664</v>
      </c>
      <c r="B38" s="47">
        <f>Линия11[[#This Row],[Дата начала]]+Линия11[[#This Row],[Длительность]]</f>
        <v>46048.527777777774</v>
      </c>
      <c r="C38" s="28">
        <f t="shared" si="3"/>
        <v>0.1111111111111111</v>
      </c>
      <c r="D38" s="29">
        <v>3000</v>
      </c>
      <c r="E38" s="29" t="s">
        <v>497</v>
      </c>
      <c r="F38" s="49">
        <v>8000</v>
      </c>
      <c r="G38" s="29"/>
      <c r="H38" s="31" t="str">
        <f>IFERROR(Линия11[[#This Row],[Кол-во]]/Линия11[[#This Row],[Шт. в поддоне]], "")</f>
        <v/>
      </c>
    </row>
    <row r="39" spans="1:8" hidden="1" x14ac:dyDescent="0.25">
      <c r="A39" s="126">
        <f t="shared" si="4"/>
        <v>46048.527777777774</v>
      </c>
      <c r="B39" s="47">
        <f>Линия11[[#This Row],[Дата начала]]+Линия11[[#This Row],[Длительность]]</f>
        <v>46048.569444444438</v>
      </c>
      <c r="C39" s="28">
        <f t="shared" si="3"/>
        <v>4.1666666666666664E-2</v>
      </c>
      <c r="D39" s="29"/>
      <c r="E39" s="29" t="s">
        <v>197</v>
      </c>
      <c r="F39" s="29"/>
      <c r="G39" s="29"/>
      <c r="H39" s="31" t="str">
        <f>IFERROR(Линия11[[#This Row],[Кол-во]]/Линия11[[#This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scale="43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FDFD-C818-41C1-889E-8A19451287FE}">
  <sheetPr codeName="Лист15">
    <pageSetUpPr fitToPage="1"/>
  </sheetPr>
  <dimension ref="A1:H44"/>
  <sheetViews>
    <sheetView zoomScale="85" zoomScaleNormal="85" workbookViewId="0">
      <selection activeCell="A44" sqref="A44:XFD44"/>
    </sheetView>
  </sheetViews>
  <sheetFormatPr defaultRowHeight="13.8" x14ac:dyDescent="0.25"/>
  <cols>
    <col min="1" max="1" width="16.19921875" customWidth="1"/>
    <col min="2" max="2" width="18.09765625" customWidth="1"/>
    <col min="3" max="3" width="13.8984375" style="62" bestFit="1" customWidth="1"/>
    <col min="4" max="4" width="9.3984375" style="84" bestFit="1" customWidth="1"/>
    <col min="5" max="5" width="82.8984375" customWidth="1"/>
    <col min="6" max="6" width="11.5" bestFit="1" customWidth="1"/>
    <col min="7" max="8" width="16.59765625" bestFit="1" customWidth="1"/>
  </cols>
  <sheetData>
    <row r="1" spans="1:8" ht="20.399999999999999" x14ac:dyDescent="0.35">
      <c r="A1" s="165" t="s">
        <v>498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27" t="s">
        <v>145</v>
      </c>
      <c r="B2" s="128" t="s">
        <v>398</v>
      </c>
      <c r="C2" s="125" t="s">
        <v>147</v>
      </c>
      <c r="D2" s="104" t="s">
        <v>148</v>
      </c>
      <c r="E2" s="104" t="s">
        <v>149</v>
      </c>
      <c r="F2" s="104" t="s">
        <v>399</v>
      </c>
      <c r="G2" s="104" t="s">
        <v>151</v>
      </c>
      <c r="H2" s="105" t="s">
        <v>152</v>
      </c>
    </row>
    <row r="3" spans="1:8" hidden="1" x14ac:dyDescent="0.25">
      <c r="A3" s="78">
        <v>46037.416666666664</v>
      </c>
      <c r="B3" s="47">
        <f>Линия1118[[#This Row],[Дата начала]]+Линия1118[[#This Row],[Длительность]]</f>
        <v>46037.423611111109</v>
      </c>
      <c r="C3" s="28">
        <f t="shared" ref="C3:C4" si="0"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f>
        <v>6.9444444444444441E-3</v>
      </c>
      <c r="D3" s="29"/>
      <c r="E3" s="137" t="s">
        <v>163</v>
      </c>
      <c r="F3" s="138"/>
      <c r="G3" s="29"/>
      <c r="H3" s="31" t="str">
        <f>IFERROR(Линия1118[[#This Row],[Кол-во]]/Линия1118[[#This Row],[Шт. в поддоне]], "")</f>
        <v/>
      </c>
    </row>
    <row r="4" spans="1:8" hidden="1" x14ac:dyDescent="0.25">
      <c r="A4" s="126">
        <f>B3</f>
        <v>46037.423611111109</v>
      </c>
      <c r="B4" s="47">
        <f>Линия1118[[#This Row],[Дата начала]]+Линия1118[[#This Row],[Длительность]]</f>
        <v>46037.534722222219</v>
      </c>
      <c r="C4" s="28">
        <f t="shared" si="0"/>
        <v>0.1111111111111111</v>
      </c>
      <c r="D4" s="29">
        <v>3000</v>
      </c>
      <c r="E4" s="80" t="s">
        <v>486</v>
      </c>
      <c r="F4" s="49">
        <v>8000</v>
      </c>
      <c r="G4" s="29"/>
      <c r="H4" s="31" t="str">
        <f>IFERROR(Линия1118[[#This Row],[Кол-во]]/Линия1118[[#This Row],[Шт. в поддоне]], "")</f>
        <v/>
      </c>
    </row>
    <row r="5" spans="1:8" hidden="1" x14ac:dyDescent="0.25">
      <c r="A5" s="126">
        <f>B4</f>
        <v>46037.534722222219</v>
      </c>
      <c r="B5" s="47">
        <f>Линия1118[[#This Row],[Дата начала]]+Линия1118[[#This Row],[Длительность]]</f>
        <v>46037.576388888883</v>
      </c>
      <c r="C5" s="28">
        <f>IF(E5="Вытеснение",TIME(0,30,0),
IF(E5="Передача смены",TIME(0,20,0),
IF(E5="Запуск",TIME(0,10,0),
IF(E5="CIP 1",TIME(0,60,0),
IF(E5="CIP 2",TIME(0,90,0),
IF(E5="CIP 3",TIME(0,210,0),
IF(AND(ISNUMBER(F5),ISNUMBER(D5),D5&gt;0),F5/D5/24,"Ошибка")))))))</f>
        <v>4.1666666666666664E-2</v>
      </c>
      <c r="D5" s="29"/>
      <c r="E5" s="29" t="s">
        <v>197</v>
      </c>
      <c r="F5" s="49"/>
      <c r="G5" s="29"/>
      <c r="H5" s="31" t="str">
        <f>IFERROR(Линия1118[[#This Row],[Кол-во]]/Линия1118[[#This Row],[Шт. в поддоне]], "")</f>
        <v/>
      </c>
    </row>
    <row r="6" spans="1:8" hidden="1" x14ac:dyDescent="0.25">
      <c r="A6" s="126">
        <f>B5</f>
        <v>46037.576388888883</v>
      </c>
      <c r="B6" s="47">
        <f>Линия1118[[#This Row],[Дата начала]]+Линия1118[[#This Row],[Длительность]]</f>
        <v>46037.583333333328</v>
      </c>
      <c r="C6" s="28">
        <f>IF(E6="Вытеснение",TIME(0,30,0),
IF(E6="Передача смены",TIME(0,20,0),
IF(E6="Запуск",TIME(0,10,0),
IF(E6="CIP 1",TIME(0,60,0),
IF(E6="CIP 2",TIME(0,90,0),
IF(E6="CIP 3",TIME(0,210,0),
IF(AND(ISNUMBER(F6),ISNUMBER(D6),D6&gt;0),F6/D6/24,"Ошибка")))))))</f>
        <v>6.9444444444444441E-3</v>
      </c>
      <c r="D6" s="29"/>
      <c r="E6" s="29" t="s">
        <v>163</v>
      </c>
      <c r="F6" s="49"/>
      <c r="G6" s="29"/>
      <c r="H6" s="31" t="str">
        <f>IFERROR(Линия1118[[#This Row],[Кол-во]]/Линия1118[[#This Row],[Шт. в поддоне]], "")</f>
        <v/>
      </c>
    </row>
    <row r="7" spans="1:8" hidden="1" x14ac:dyDescent="0.25">
      <c r="A7" s="126">
        <v>46043.333333333336</v>
      </c>
      <c r="B7" s="47">
        <f>Линия1118[[#This Row],[Дата начала]]+Линия1118[[#This Row],[Длительность]]</f>
        <v>46043.444444444445</v>
      </c>
      <c r="C7" s="28">
        <f>IF(E7="Вытеснение",TIME(0,30,0),
IF(E7="Передача смены",TIME(0,20,0),
IF(E7="Запуск",TIME(0,10,0),
IF(E7="CIP 1",TIME(0,60,0),
IF(E7="CIP 2",TIME(0,90,0),
IF(E7="CIP 3",TIME(0,210,0),
IF(AND(ISNUMBER(F7),ISNUMBER(D7),D7&gt;0),F7/D7/24,"Ошибка")))))))</f>
        <v>0.1111111111111111</v>
      </c>
      <c r="D7" s="29">
        <v>3000</v>
      </c>
      <c r="E7" s="80" t="s">
        <v>487</v>
      </c>
      <c r="F7" s="49">
        <v>8000</v>
      </c>
      <c r="G7" s="29"/>
      <c r="H7" s="31" t="str">
        <f>IFERROR(Линия1118[[#This Row],[Кол-во]]/Линия1118[[#This Row],[Шт. в поддоне]], "")</f>
        <v/>
      </c>
    </row>
    <row r="8" spans="1:8" hidden="1" x14ac:dyDescent="0.25">
      <c r="A8" s="126">
        <f>B7</f>
        <v>46043.444444444445</v>
      </c>
      <c r="B8" s="47">
        <f>Линия1118[[#This Row],[Дата начала]]+Линия1118[[#This Row],[Длительность]]</f>
        <v>46043.486111111109</v>
      </c>
      <c r="C8" s="28">
        <f>IF(E8="Вытеснение",TIME(0,30,0),
IF(E8="Передача смены",TIME(0,20,0),
IF(E8="Запуск",TIME(0,10,0),
IF(E8="CIP 1",TIME(0,60,0),
IF(E8="CIP 2",TIME(0,90,0),
IF(E8="CIP 3",TIME(0,210,0),
IF(AND(ISNUMBER(F8),ISNUMBER(D8),D8&gt;0),F8/D8/24,"Ошибка")))))))</f>
        <v>4.1666666666666664E-2</v>
      </c>
      <c r="D8" s="29"/>
      <c r="E8" s="29" t="s">
        <v>197</v>
      </c>
      <c r="F8" s="49"/>
      <c r="G8" s="29"/>
      <c r="H8" s="31" t="str">
        <f>IFERROR(Линия1118[[#This Row],[Кол-во]]/Линия1118[[#This Row],[Шт. в поддоне]], "")</f>
        <v/>
      </c>
    </row>
    <row r="9" spans="1:8" hidden="1" x14ac:dyDescent="0.25">
      <c r="A9" s="126">
        <f>B8</f>
        <v>46043.486111111109</v>
      </c>
      <c r="B9" s="47">
        <f>Линия1118[[#This Row],[Дата начала]]+Линия1118[[#This Row],[Длительность]]</f>
        <v>46043.493055555555</v>
      </c>
      <c r="C9" s="28">
        <f>IF(E9="Вытеснение",TIME(0,30,0),
IF(E9="Передача смены",TIME(0,20,0),
IF(E9="Запуск",TIME(0,10,0),
IF(E9="CIP 1",TIME(0,60,0),
IF(E9="CIP 2",TIME(0,90,0),
IF(E9="CIP 3",TIME(0,210,0),
IF(AND(ISNUMBER(F9),ISNUMBER(D9),D9&gt;0),F9/D9/24,"Ошибка")))))))</f>
        <v>6.9444444444444441E-3</v>
      </c>
      <c r="D9" s="29"/>
      <c r="E9" s="29" t="s">
        <v>163</v>
      </c>
      <c r="F9" s="49"/>
      <c r="G9" s="29"/>
      <c r="H9" s="31" t="str">
        <f>IFERROR(Линия1118[[#This Row],[Кол-во]]/Линия1118[[#This Row],[Шт. в поддоне]], "")</f>
        <v/>
      </c>
    </row>
    <row r="10" spans="1:8" hidden="1" x14ac:dyDescent="0.25">
      <c r="A10" s="78"/>
      <c r="B10" s="79" t="e">
        <f>Линия1118[[#This Row],[Дата начала]]+Линия1118[[#This Row],[Длительность]]</f>
        <v>#VALUE!</v>
      </c>
      <c r="C10" s="28" t="str">
        <f t="shared" ref="C10" si="1">IF(E10="Вытеснение",TIME(0,30,0),
IF(E10="Передача смены",TIME(0,20,0),
IF(E10="Запуск",TIME(0,10,0),
IF(E10="CIP 1",TIME(0,60,0),
IF(E10="CIP 2",TIME(0,90,0),
IF(E10="CIP 3",TIME(0,210,0),
IF(AND(ISNUMBER(F10),ISNUMBER(D10),D10&gt;0),F10/D10/24,"Ошибка")))))))</f>
        <v>Ошибка</v>
      </c>
      <c r="D10" s="29"/>
      <c r="E10" s="29"/>
      <c r="F10" s="29"/>
      <c r="G10" s="29"/>
      <c r="H10" s="31" t="str">
        <f>IFERROR(Линия1118[[#This Row],[Кол-во]]/Линия1118[[#This Row],[Шт. в поддоне]], "")</f>
        <v/>
      </c>
    </row>
    <row r="11" spans="1:8" hidden="1" x14ac:dyDescent="0.25">
      <c r="A11" s="126">
        <v>46042.416666666664</v>
      </c>
      <c r="B11" s="47">
        <f>Линия1118[[#This Row],[Дата начала]]+Линия1118[[#This Row],[Длительность]]</f>
        <v>46042.527777777774</v>
      </c>
      <c r="C11" s="28">
        <f>IF(E11="Вытеснение",TIME(0,30,0),
IF(E11="Передача смены",TIME(0,20,0),
IF(E11="Запуск",TIME(0,10,0),
IF(E11="CIP 1",TIME(0,60,0),
IF(E11="CIP 2",TIME(0,90,0),
IF(E11="CIP 3",TIME(0,210,0),
IF(AND(ISNUMBER(F11),ISNUMBER(D11),D11&gt;0),F11/D11/24,"Ошибка")))))))</f>
        <v>0.1111111111111111</v>
      </c>
      <c r="D11" s="29">
        <v>3000</v>
      </c>
      <c r="E11" s="80" t="s">
        <v>488</v>
      </c>
      <c r="F11" s="49">
        <v>8000</v>
      </c>
      <c r="G11" s="29"/>
      <c r="H11" s="31" t="str">
        <f>IFERROR(Линия1118[[#This Row],[Кол-во]]/Линия1118[[#This Row],[Шт. в поддоне]], "")</f>
        <v/>
      </c>
    </row>
    <row r="12" spans="1:8" hidden="1" x14ac:dyDescent="0.25">
      <c r="A12" s="126">
        <f>B11</f>
        <v>46042.527777777774</v>
      </c>
      <c r="B12" s="47">
        <f>Линия1118[[#This Row],[Дата начала]]+Линия1118[[#This Row],[Длительность]]</f>
        <v>46042.569444444438</v>
      </c>
      <c r="C12" s="28">
        <f>IF(E12="Вытеснение",TIME(0,30,0),
IF(E12="Передача смены",TIME(0,20,0),
IF(E12="Запуск",TIME(0,10,0),
IF(E12="CIP 1",TIME(0,60,0),
IF(E12="CIP 2",TIME(0,90,0),
IF(E12="CIP 3",TIME(0,210,0),
IF(AND(ISNUMBER(F12),ISNUMBER(D12),D12&gt;0),F12/D12/24,"Ошибка")))))))</f>
        <v>4.1666666666666664E-2</v>
      </c>
      <c r="D12" s="29"/>
      <c r="E12" s="29" t="s">
        <v>197</v>
      </c>
      <c r="F12" s="49"/>
      <c r="G12" s="29"/>
      <c r="H12" s="31" t="str">
        <f>IFERROR(Линия1118[[#This Row],[Кол-во]]/Линия1118[[#This Row],[Шт. в поддоне]], "")</f>
        <v/>
      </c>
    </row>
    <row r="13" spans="1:8" hidden="1" x14ac:dyDescent="0.25">
      <c r="A13" s="126">
        <f t="shared" ref="A13:A28" si="2">B12</f>
        <v>46042.569444444438</v>
      </c>
      <c r="B13" s="47">
        <f>Линия1118[[#This Row],[Дата начала]]+Линия1118[[#This Row],[Длительность]]</f>
        <v>46042.576388888883</v>
      </c>
      <c r="C13" s="28">
        <f t="shared" ref="C13:C39" si="3">IF(E13="Вытеснение",TIME(0,30,0),
IF(E13="Передача смены",TIME(0,20,0),
IF(E13="Запуск",TIME(0,10,0),
IF(E13="CIP 1",TIME(0,60,0),
IF(E13="CIP 2",TIME(0,90,0),
IF(E13="CIP 3",TIME(0,210,0),
IF(AND(ISNUMBER(F13),ISNUMBER(D13),D13&gt;0),F13/D13/24,"Ошибка")))))))</f>
        <v>6.9444444444444441E-3</v>
      </c>
      <c r="D13" s="29"/>
      <c r="E13" s="29" t="s">
        <v>163</v>
      </c>
      <c r="F13" s="49"/>
      <c r="G13" s="29"/>
      <c r="H13" s="31" t="str">
        <f>IFERROR(Линия1118[[#This Row],[Кол-во]]/Линия1118[[#This Row],[Шт. в поддоне]], "")</f>
        <v/>
      </c>
    </row>
    <row r="14" spans="1:8" hidden="1" x14ac:dyDescent="0.25">
      <c r="A14" s="126">
        <f t="shared" si="2"/>
        <v>46042.576388888883</v>
      </c>
      <c r="B14" s="47">
        <f>Линия1118[[#This Row],[Дата начала]]+Линия1118[[#This Row],[Длительность]]</f>
        <v>46042.687499999993</v>
      </c>
      <c r="C14" s="28">
        <f t="shared" si="3"/>
        <v>0.1111111111111111</v>
      </c>
      <c r="D14" s="29">
        <v>3000</v>
      </c>
      <c r="E14" s="80" t="s">
        <v>489</v>
      </c>
      <c r="F14" s="49">
        <v>8000</v>
      </c>
      <c r="G14" s="29"/>
      <c r="H14" s="31" t="str">
        <f>IFERROR(Линия1118[[#This Row],[Кол-во]]/Линия1118[[#This Row],[Шт. в поддоне]], "")</f>
        <v/>
      </c>
    </row>
    <row r="15" spans="1:8" hidden="1" x14ac:dyDescent="0.25">
      <c r="A15" s="126">
        <f t="shared" si="2"/>
        <v>46042.687499999993</v>
      </c>
      <c r="B15" s="47">
        <f>Линия1118[[#This Row],[Дата начала]]+Линия1118[[#This Row],[Длительность]]</f>
        <v>46042.729166666657</v>
      </c>
      <c r="C15" s="28">
        <f t="shared" si="3"/>
        <v>4.1666666666666664E-2</v>
      </c>
      <c r="D15" s="29"/>
      <c r="E15" s="29" t="s">
        <v>197</v>
      </c>
      <c r="F15" s="49"/>
      <c r="G15" s="29"/>
      <c r="H15" s="31" t="str">
        <f>IFERROR(Линия1118[[#This Row],[Кол-во]]/Линия1118[[#This Row],[Шт. в поддоне]], "")</f>
        <v/>
      </c>
    </row>
    <row r="16" spans="1:8" hidden="1" x14ac:dyDescent="0.25">
      <c r="A16" s="126">
        <f t="shared" si="2"/>
        <v>46042.729166666657</v>
      </c>
      <c r="B16" s="47">
        <f>Линия1118[[#This Row],[Дата начала]]+Линия1118[[#This Row],[Длительность]]</f>
        <v>46042.736111111102</v>
      </c>
      <c r="C16" s="28">
        <f t="shared" si="3"/>
        <v>6.9444444444444441E-3</v>
      </c>
      <c r="D16" s="29"/>
      <c r="E16" s="29" t="s">
        <v>163</v>
      </c>
      <c r="F16" s="49"/>
      <c r="G16" s="29"/>
      <c r="H16" s="31" t="str">
        <f>IFERROR(Линия1118[[#This Row],[Кол-во]]/Линия1118[[#This Row],[Шт. в поддоне]], "")</f>
        <v/>
      </c>
    </row>
    <row r="17" spans="1:8" hidden="1" x14ac:dyDescent="0.25">
      <c r="A17" s="126">
        <v>46043.333333333336</v>
      </c>
      <c r="B17" s="47">
        <f>Линия1118[[#This Row],[Дата начала]]+Линия1118[[#This Row],[Длительность]]</f>
        <v>46043.444444444445</v>
      </c>
      <c r="C17" s="28">
        <f t="shared" si="3"/>
        <v>0.1111111111111111</v>
      </c>
      <c r="D17" s="29">
        <v>3000</v>
      </c>
      <c r="E17" s="80" t="s">
        <v>490</v>
      </c>
      <c r="F17" s="49">
        <v>8000</v>
      </c>
      <c r="G17" s="29"/>
      <c r="H17" s="31" t="str">
        <f>IFERROR(Линия1118[[#This Row],[Кол-во]]/Линия1118[[#This Row],[Шт. в поддоне]], "")</f>
        <v/>
      </c>
    </row>
    <row r="18" spans="1:8" hidden="1" x14ac:dyDescent="0.25">
      <c r="A18" s="126">
        <f t="shared" si="2"/>
        <v>46043.444444444445</v>
      </c>
      <c r="B18" s="47">
        <f>Линия1118[[#This Row],[Дата начала]]+Линия1118[[#This Row],[Длительность]]</f>
        <v>46043.486111111109</v>
      </c>
      <c r="C18" s="28">
        <f t="shared" si="3"/>
        <v>4.1666666666666664E-2</v>
      </c>
      <c r="D18" s="29"/>
      <c r="E18" s="29" t="s">
        <v>197</v>
      </c>
      <c r="F18" s="49"/>
      <c r="G18" s="29"/>
      <c r="H18" s="31" t="str">
        <f>IFERROR(Линия1118[[#This Row],[Кол-во]]/Линия1118[[#This Row],[Шт. в поддоне]], "")</f>
        <v/>
      </c>
    </row>
    <row r="19" spans="1:8" hidden="1" x14ac:dyDescent="0.25">
      <c r="A19" s="126">
        <f t="shared" si="2"/>
        <v>46043.486111111109</v>
      </c>
      <c r="B19" s="47">
        <f>Линия1118[[#This Row],[Дата начала]]+Линия1118[[#This Row],[Длительность]]</f>
        <v>46043.493055555555</v>
      </c>
      <c r="C19" s="28">
        <f t="shared" si="3"/>
        <v>6.9444444444444441E-3</v>
      </c>
      <c r="D19" s="29"/>
      <c r="E19" s="29" t="s">
        <v>163</v>
      </c>
      <c r="F19" s="49"/>
      <c r="G19" s="29"/>
      <c r="H19" s="31" t="str">
        <f>IFERROR(Линия1118[[#This Row],[Кол-во]]/Линия1118[[#This Row],[Шт. в поддоне]], "")</f>
        <v/>
      </c>
    </row>
    <row r="20" spans="1:8" hidden="1" x14ac:dyDescent="0.25">
      <c r="A20" s="126">
        <f t="shared" si="2"/>
        <v>46043.493055555555</v>
      </c>
      <c r="B20" s="47">
        <f>Линия1118[[#This Row],[Дата начала]]+Линия1118[[#This Row],[Длительность]]</f>
        <v>46043.604166666664</v>
      </c>
      <c r="C20" s="28">
        <f t="shared" si="3"/>
        <v>0.1111111111111111</v>
      </c>
      <c r="D20" s="29">
        <v>3000</v>
      </c>
      <c r="E20" s="80" t="s">
        <v>491</v>
      </c>
      <c r="F20" s="49">
        <v>8000</v>
      </c>
      <c r="G20" s="29"/>
      <c r="H20" s="31" t="str">
        <f>IFERROR(Линия1118[[#This Row],[Кол-во]]/Линия1118[[#This Row],[Шт. в поддоне]], "")</f>
        <v/>
      </c>
    </row>
    <row r="21" spans="1:8" hidden="1" x14ac:dyDescent="0.25">
      <c r="A21" s="126">
        <f t="shared" si="2"/>
        <v>46043.604166666664</v>
      </c>
      <c r="B21" s="47">
        <f>Линия1118[[#This Row],[Дата начала]]+Линия1118[[#This Row],[Длительность]]</f>
        <v>46043.645833333328</v>
      </c>
      <c r="C21" s="28">
        <f t="shared" si="3"/>
        <v>4.1666666666666664E-2</v>
      </c>
      <c r="D21" s="29"/>
      <c r="E21" s="29" t="s">
        <v>197</v>
      </c>
      <c r="F21" s="49"/>
      <c r="G21" s="29"/>
      <c r="H21" s="31" t="str">
        <f>IFERROR(Линия1118[[#This Row],[Кол-во]]/Линия1118[[#This Row],[Шт. в поддоне]], "")</f>
        <v/>
      </c>
    </row>
    <row r="22" spans="1:8" hidden="1" x14ac:dyDescent="0.25">
      <c r="A22" s="126">
        <v>46044.458333333336</v>
      </c>
      <c r="B22" s="47">
        <f>Линия1118[[#This Row],[Дата начала]]+Линия1118[[#This Row],[Длительность]]</f>
        <v>46044.465277777781</v>
      </c>
      <c r="C22" s="28">
        <f t="shared" si="3"/>
        <v>6.9444444444444441E-3</v>
      </c>
      <c r="D22" s="29"/>
      <c r="E22" s="29" t="s">
        <v>163</v>
      </c>
      <c r="F22" s="49"/>
      <c r="G22" s="29"/>
      <c r="H22" s="31" t="str">
        <f>IFERROR(Линия1118[[#This Row],[Кол-во]]/Линия1118[[#This Row],[Шт. в поддоне]], "")</f>
        <v/>
      </c>
    </row>
    <row r="23" spans="1:8" hidden="1" x14ac:dyDescent="0.25">
      <c r="A23" s="126">
        <f t="shared" si="2"/>
        <v>46044.465277777781</v>
      </c>
      <c r="B23" s="47">
        <f>Линия1118[[#This Row],[Дата начала]]+Линия1118[[#This Row],[Длительность]]</f>
        <v>46044.576388888891</v>
      </c>
      <c r="C23" s="28">
        <f t="shared" si="3"/>
        <v>0.1111111111111111</v>
      </c>
      <c r="D23" s="29">
        <v>3000</v>
      </c>
      <c r="E23" s="29" t="s">
        <v>492</v>
      </c>
      <c r="F23" s="49">
        <v>8000</v>
      </c>
      <c r="G23" s="29"/>
      <c r="H23" s="31" t="str">
        <f>IFERROR(Линия1118[[#This Row],[Кол-во]]/Линия1118[[#This Row],[Шт. в поддоне]], "")</f>
        <v/>
      </c>
    </row>
    <row r="24" spans="1:8" hidden="1" x14ac:dyDescent="0.25">
      <c r="A24" s="126">
        <f t="shared" si="2"/>
        <v>46044.576388888891</v>
      </c>
      <c r="B24" s="47">
        <f>Линия1118[[#This Row],[Дата начала]]+Линия1118[[#This Row],[Длительность]]</f>
        <v>46044.618055555555</v>
      </c>
      <c r="C24" s="28">
        <f t="shared" si="3"/>
        <v>4.1666666666666664E-2</v>
      </c>
      <c r="D24" s="29"/>
      <c r="E24" s="29" t="s">
        <v>197</v>
      </c>
      <c r="F24" s="49"/>
      <c r="G24" s="29"/>
      <c r="H24" s="31" t="str">
        <f>IFERROR(Линия1118[[#This Row],[Кол-во]]/Линия1118[[#This Row],[Шт. в поддоне]], "")</f>
        <v/>
      </c>
    </row>
    <row r="25" spans="1:8" hidden="1" x14ac:dyDescent="0.25">
      <c r="A25" s="126">
        <f t="shared" si="2"/>
        <v>46044.618055555555</v>
      </c>
      <c r="B25" s="47">
        <f>Линия1118[[#This Row],[Дата начала]]+Линия1118[[#This Row],[Длительность]]</f>
        <v>46044.625</v>
      </c>
      <c r="C25" s="28">
        <f t="shared" si="3"/>
        <v>6.9444444444444441E-3</v>
      </c>
      <c r="D25" s="29"/>
      <c r="E25" s="29" t="s">
        <v>163</v>
      </c>
      <c r="F25" s="49"/>
      <c r="G25" s="29"/>
      <c r="H25" s="31" t="str">
        <f>IFERROR(Линия1118[[#This Row],[Кол-во]]/Линия1118[[#This Row],[Шт. в поддоне]], "")</f>
        <v/>
      </c>
    </row>
    <row r="26" spans="1:8" hidden="1" x14ac:dyDescent="0.25">
      <c r="A26" s="126">
        <f t="shared" si="2"/>
        <v>46044.625</v>
      </c>
      <c r="B26" s="47">
        <f>Линия1118[[#This Row],[Дата начала]]+Линия1118[[#This Row],[Длительность]]</f>
        <v>46044.736111111109</v>
      </c>
      <c r="C26" s="28">
        <f t="shared" si="3"/>
        <v>0.1111111111111111</v>
      </c>
      <c r="D26" s="29">
        <v>3000</v>
      </c>
      <c r="E26" s="29" t="s">
        <v>493</v>
      </c>
      <c r="F26" s="49">
        <v>8000</v>
      </c>
      <c r="G26" s="29"/>
      <c r="H26" s="31" t="str">
        <f>IFERROR(Линия1118[[#This Row],[Кол-во]]/Линия1118[[#This Row],[Шт. в поддоне]], "")</f>
        <v/>
      </c>
    </row>
    <row r="27" spans="1:8" hidden="1" x14ac:dyDescent="0.25">
      <c r="A27" s="126">
        <f t="shared" si="2"/>
        <v>46044.736111111109</v>
      </c>
      <c r="B27" s="47">
        <f>Линия1118[[#This Row],[Дата начала]]+Линия1118[[#This Row],[Длительность]]</f>
        <v>46044.777777777774</v>
      </c>
      <c r="C27" s="28">
        <f t="shared" si="3"/>
        <v>4.1666666666666664E-2</v>
      </c>
      <c r="D27" s="29"/>
      <c r="E27" s="29" t="s">
        <v>197</v>
      </c>
      <c r="F27" s="49"/>
      <c r="G27" s="29"/>
      <c r="H27" s="31" t="str">
        <f>IFERROR(Линия1118[[#This Row],[Кол-во]]/Линия1118[[#This Row],[Шт. в поддоне]], "")</f>
        <v/>
      </c>
    </row>
    <row r="28" spans="1:8" hidden="1" x14ac:dyDescent="0.25">
      <c r="A28" s="126">
        <f t="shared" si="2"/>
        <v>46044.777777777774</v>
      </c>
      <c r="B28" s="47">
        <f>Линия1118[[#This Row],[Дата начала]]+Линия1118[[#This Row],[Длительность]]</f>
        <v>46044.784722222219</v>
      </c>
      <c r="C28" s="28">
        <f t="shared" si="3"/>
        <v>6.9444444444444441E-3</v>
      </c>
      <c r="D28" s="29"/>
      <c r="E28" s="29" t="s">
        <v>163</v>
      </c>
      <c r="F28" s="49"/>
      <c r="G28" s="29"/>
      <c r="H28" s="31" t="str">
        <f>IFERROR(Линия1118[[#This Row],[Кол-во]]/Линия1118[[#This Row],[Шт. в поддоне]], "")</f>
        <v/>
      </c>
    </row>
    <row r="29" spans="1:8" hidden="1" x14ac:dyDescent="0.25">
      <c r="A29" s="126">
        <v>46045.333333333336</v>
      </c>
      <c r="B29" s="47">
        <f>Линия1118[[#This Row],[Дата начала]]+Линия1118[[#This Row],[Длительность]]</f>
        <v>46045.444444444445</v>
      </c>
      <c r="C29" s="28">
        <f t="shared" si="3"/>
        <v>0.1111111111111111</v>
      </c>
      <c r="D29" s="29">
        <v>3000</v>
      </c>
      <c r="E29" s="29" t="s">
        <v>494</v>
      </c>
      <c r="F29" s="49">
        <v>8000</v>
      </c>
      <c r="G29" s="29"/>
      <c r="H29" s="31" t="str">
        <f>IFERROR(Линия1118[[#This Row],[Кол-во]]/Линия1118[[#This Row],[Шт. в поддоне]], "")</f>
        <v/>
      </c>
    </row>
    <row r="30" spans="1:8" hidden="1" x14ac:dyDescent="0.25">
      <c r="A30" s="126">
        <f t="shared" ref="A30:A39" si="4">B29</f>
        <v>46045.444444444445</v>
      </c>
      <c r="B30" s="47">
        <f>Линия1118[[#This Row],[Дата начала]]+Линия1118[[#This Row],[Длительность]]</f>
        <v>46045.486111111109</v>
      </c>
      <c r="C30" s="28">
        <f t="shared" si="3"/>
        <v>4.1666666666666664E-2</v>
      </c>
      <c r="D30" s="29"/>
      <c r="E30" s="29" t="s">
        <v>197</v>
      </c>
      <c r="F30" s="49"/>
      <c r="G30" s="29"/>
      <c r="H30" s="31" t="str">
        <f>IFERROR(Линия1118[[#This Row],[Кол-во]]/Линия1118[[#This Row],[Шт. в поддоне]], "")</f>
        <v/>
      </c>
    </row>
    <row r="31" spans="1:8" hidden="1" x14ac:dyDescent="0.25">
      <c r="A31" s="126">
        <f t="shared" si="4"/>
        <v>46045.486111111109</v>
      </c>
      <c r="B31" s="47">
        <f>Линия1118[[#This Row],[Дата начала]]+Линия1118[[#This Row],[Длительность]]</f>
        <v>46045.493055555555</v>
      </c>
      <c r="C31" s="28">
        <f t="shared" si="3"/>
        <v>6.9444444444444441E-3</v>
      </c>
      <c r="D31" s="29"/>
      <c r="E31" s="29" t="s">
        <v>163</v>
      </c>
      <c r="F31" s="49"/>
      <c r="G31" s="29"/>
      <c r="H31" s="31" t="str">
        <f>IFERROR(Линия1118[[#This Row],[Кол-во]]/Линия1118[[#This Row],[Шт. в поддоне]], "")</f>
        <v/>
      </c>
    </row>
    <row r="32" spans="1:8" hidden="1" x14ac:dyDescent="0.25">
      <c r="A32" s="126">
        <f t="shared" si="4"/>
        <v>46045.493055555555</v>
      </c>
      <c r="B32" s="47">
        <f>Линия1118[[#This Row],[Дата начала]]+Линия1118[[#This Row],[Длительность]]</f>
        <v>46045.604166666664</v>
      </c>
      <c r="C32" s="28">
        <f t="shared" si="3"/>
        <v>0.1111111111111111</v>
      </c>
      <c r="D32" s="29">
        <v>3000</v>
      </c>
      <c r="E32" s="29" t="s">
        <v>495</v>
      </c>
      <c r="F32" s="49">
        <v>8000</v>
      </c>
      <c r="G32" s="29"/>
      <c r="H32" s="31" t="str">
        <f>IFERROR(Линия1118[[#This Row],[Кол-во]]/Линия1118[[#This Row],[Шт. в поддоне]], "")</f>
        <v/>
      </c>
    </row>
    <row r="33" spans="1:8" hidden="1" x14ac:dyDescent="0.25">
      <c r="A33" s="126">
        <f t="shared" si="4"/>
        <v>46045.604166666664</v>
      </c>
      <c r="B33" s="47">
        <f>Линия1118[[#This Row],[Дата начала]]+Линия1118[[#This Row],[Длительность]]</f>
        <v>46045.645833333328</v>
      </c>
      <c r="C33" s="28">
        <f t="shared" si="3"/>
        <v>4.1666666666666664E-2</v>
      </c>
      <c r="D33" s="29"/>
      <c r="E33" s="29" t="s">
        <v>197</v>
      </c>
      <c r="F33" s="49"/>
      <c r="G33" s="29"/>
      <c r="H33" s="31" t="str">
        <f>IFERROR(Линия1118[[#This Row],[Кол-во]]/Линия1118[[#This Row],[Шт. в поддоне]], "")</f>
        <v/>
      </c>
    </row>
    <row r="34" spans="1:8" hidden="1" x14ac:dyDescent="0.25">
      <c r="A34" s="126">
        <f t="shared" si="4"/>
        <v>46045.645833333328</v>
      </c>
      <c r="B34" s="47">
        <f>Линия1118[[#This Row],[Дата начала]]+Линия1118[[#This Row],[Длительность]]</f>
        <v>46045.652777777774</v>
      </c>
      <c r="C34" s="28">
        <f t="shared" si="3"/>
        <v>6.9444444444444441E-3</v>
      </c>
      <c r="D34" s="29"/>
      <c r="E34" s="29" t="s">
        <v>163</v>
      </c>
      <c r="F34" s="49"/>
      <c r="G34" s="29"/>
      <c r="H34" s="31" t="str">
        <f>IFERROR(Линия1118[[#This Row],[Кол-во]]/Линия1118[[#This Row],[Шт. в поддоне]], "")</f>
        <v/>
      </c>
    </row>
    <row r="35" spans="1:8" hidden="1" x14ac:dyDescent="0.25">
      <c r="A35" s="126">
        <f t="shared" si="4"/>
        <v>46045.652777777774</v>
      </c>
      <c r="B35" s="47">
        <f>Линия1118[[#This Row],[Дата начала]]+Линия1118[[#This Row],[Длительность]]</f>
        <v>46045.763888888883</v>
      </c>
      <c r="C35" s="28">
        <f t="shared" si="3"/>
        <v>0.1111111111111111</v>
      </c>
      <c r="D35" s="29">
        <v>3000</v>
      </c>
      <c r="E35" s="29" t="s">
        <v>496</v>
      </c>
      <c r="F35" s="49">
        <v>8000</v>
      </c>
      <c r="G35" s="29"/>
      <c r="H35" s="31" t="str">
        <f>IFERROR(Линия1118[[#This Row],[Кол-во]]/Линия1118[[#This Row],[Шт. в поддоне]], "")</f>
        <v/>
      </c>
    </row>
    <row r="36" spans="1:8" hidden="1" x14ac:dyDescent="0.25">
      <c r="A36" s="126">
        <f t="shared" si="4"/>
        <v>46045.763888888883</v>
      </c>
      <c r="B36" s="47">
        <f>Линия1118[[#This Row],[Дата начала]]+Линия1118[[#This Row],[Длительность]]</f>
        <v>46045.805555555547</v>
      </c>
      <c r="C36" s="28">
        <f t="shared" si="3"/>
        <v>4.1666666666666664E-2</v>
      </c>
      <c r="D36" s="29"/>
      <c r="E36" s="29" t="s">
        <v>197</v>
      </c>
      <c r="F36" s="29"/>
      <c r="G36" s="29"/>
      <c r="H36" s="31" t="str">
        <f>IFERROR(Линия1118[[#This Row],[Кол-во]]/Линия1118[[#This Row],[Шт. в поддоне]], "")</f>
        <v/>
      </c>
    </row>
    <row r="37" spans="1:8" hidden="1" x14ac:dyDescent="0.25">
      <c r="A37" s="126">
        <f t="shared" si="4"/>
        <v>46045.805555555547</v>
      </c>
      <c r="B37" s="47">
        <f>Линия1118[[#This Row],[Дата начала]]+Линия1118[[#This Row],[Длительность]]</f>
        <v>46045.812499999993</v>
      </c>
      <c r="C37" s="28">
        <f t="shared" si="3"/>
        <v>6.9444444444444441E-3</v>
      </c>
      <c r="D37" s="29"/>
      <c r="E37" s="29" t="s">
        <v>163</v>
      </c>
      <c r="F37" s="29"/>
      <c r="G37" s="29"/>
      <c r="H37" s="31" t="str">
        <f>IFERROR(Линия1118[[#This Row],[Кол-во]]/Линия1118[[#This Row],[Шт. в поддоне]], "")</f>
        <v/>
      </c>
    </row>
    <row r="38" spans="1:8" hidden="1" x14ac:dyDescent="0.25">
      <c r="A38" s="126">
        <v>46048.416666666664</v>
      </c>
      <c r="B38" s="47">
        <f>Линия1118[[#This Row],[Дата начала]]+Линия1118[[#This Row],[Длительность]]</f>
        <v>46048.527777777774</v>
      </c>
      <c r="C38" s="28">
        <f t="shared" si="3"/>
        <v>0.1111111111111111</v>
      </c>
      <c r="D38" s="29">
        <v>3000</v>
      </c>
      <c r="E38" s="29" t="s">
        <v>497</v>
      </c>
      <c r="F38" s="49">
        <v>8000</v>
      </c>
      <c r="G38" s="29"/>
      <c r="H38" s="31" t="str">
        <f>IFERROR(Линия1118[[#This Row],[Кол-во]]/Линия1118[[#This Row],[Шт. в поддоне]], "")</f>
        <v/>
      </c>
    </row>
    <row r="39" spans="1:8" hidden="1" x14ac:dyDescent="0.25">
      <c r="A39" s="126">
        <f t="shared" si="4"/>
        <v>46048.527777777774</v>
      </c>
      <c r="B39" s="47">
        <f>Линия1118[[#This Row],[Дата начала]]+Линия1118[[#This Row],[Длительность]]</f>
        <v>46048.569444444438</v>
      </c>
      <c r="C39" s="28">
        <f t="shared" si="3"/>
        <v>4.1666666666666664E-2</v>
      </c>
      <c r="D39" s="29"/>
      <c r="E39" s="29" t="s">
        <v>197</v>
      </c>
      <c r="F39" s="29"/>
      <c r="G39" s="29"/>
      <c r="H39" s="31" t="str">
        <f>IFERROR(Линия1118[[#This Row],[Кол-во]]/Линия1118[[#This Row],[Шт. в поддоне]], "")</f>
        <v/>
      </c>
    </row>
    <row r="40" spans="1:8" hidden="1" x14ac:dyDescent="0.25">
      <c r="A40" s="78">
        <v>46064.333333333336</v>
      </c>
      <c r="B40" s="79">
        <f>Линия1118[[#This Row],[Дата начала]]+Линия1118[[#This Row],[Длительность]]</f>
        <v>46064.783333333333</v>
      </c>
      <c r="C40" s="28">
        <f>IF(E40="Вытеснение",TIME(0,30,0),
IF(E40="Передача смены",TIME(0,20,0),
IF(E40="Запуск",TIME(0,10,0),
IF(E40="CIP 1",TIME(0,60,0),
IF(E40="CIP 2",TIME(0,90,0),
IF(E40="CIP 3",TIME(0,210,0),
IF(AND(ISNUMBER(F40),ISNUMBER(D40),D40&gt;0),F40/D40/24,"Ошибка")))))))</f>
        <v>0.45</v>
      </c>
      <c r="D40" s="29">
        <v>50</v>
      </c>
      <c r="E40" s="29" t="s">
        <v>499</v>
      </c>
      <c r="F40" s="29">
        <v>540</v>
      </c>
      <c r="G40" s="29"/>
      <c r="H40" s="31" t="str">
        <f>IFERROR(Линия11[[#This Row],[Кол-во]]/Линия11[[#This Row],[Шт. в поддоне]], "")</f>
        <v/>
      </c>
    </row>
    <row r="41" spans="1:8" hidden="1" x14ac:dyDescent="0.25">
      <c r="A41" s="78">
        <f>B40</f>
        <v>46064.783333333333</v>
      </c>
      <c r="B41" s="79">
        <f>Линия1118[[#This Row],[Дата начала]]+Линия1118[[#This Row],[Длительность]]</f>
        <v>46065.23333333333</v>
      </c>
      <c r="C41" s="28">
        <f>IF(E41="Вытеснение",TIME(0,30,0),
IF(E41="Передача смены",TIME(0,20,0),
IF(E41="Запуск",TIME(0,10,0),
IF(E41="CIP 1",TIME(0,60,0),
IF(E41="CIP 2",TIME(0,90,0),
IF(E41="CIP 3",TIME(0,210,0),
IF(AND(ISNUMBER(F41),ISNUMBER(D41),D41&gt;0),F41/D41/24,"Ошибка")))))))</f>
        <v>0.45</v>
      </c>
      <c r="D41" s="29">
        <v>50</v>
      </c>
      <c r="E41" s="29" t="s">
        <v>500</v>
      </c>
      <c r="F41" s="29">
        <v>540</v>
      </c>
      <c r="G41" s="29"/>
      <c r="H41" s="31" t="str">
        <f>IFERROR(Линия11[[#This Row],[Кол-во]]/Линия11[[#This Row],[Шт. в поддоне]], "")</f>
        <v/>
      </c>
    </row>
    <row r="42" spans="1:8" hidden="1" x14ac:dyDescent="0.25">
      <c r="A42" s="78">
        <f>B41</f>
        <v>46065.23333333333</v>
      </c>
      <c r="B42" s="79">
        <f>Линия1118[[#This Row],[Дата начала]]+Линия1118[[#This Row],[Длительность]]</f>
        <v>46065.683333333327</v>
      </c>
      <c r="C42" s="28">
        <f>IF(E42="Вытеснение",TIME(0,30,0),
IF(E42="Передача смены",TIME(0,20,0),
IF(E42="Запуск",TIME(0,10,0),
IF(E42="CIP 1",TIME(0,60,0),
IF(E42="CIP 2",TIME(0,90,0),
IF(E42="CIP 3",TIME(0,210,0),
IF(AND(ISNUMBER(F42),ISNUMBER(D42),D42&gt;0),F42/D42/24,"Ошибка")))))))</f>
        <v>0.45</v>
      </c>
      <c r="D42" s="29">
        <v>50</v>
      </c>
      <c r="E42" s="29" t="s">
        <v>501</v>
      </c>
      <c r="F42" s="29">
        <v>540</v>
      </c>
      <c r="G42" s="29"/>
      <c r="H42" s="31" t="str">
        <f>IFERROR(Линия11[[#This Row],[Кол-во]]/Линия11[[#This Row],[Шт. в поддоне]], "")</f>
        <v/>
      </c>
    </row>
    <row r="43" spans="1:8" hidden="1" x14ac:dyDescent="0.25">
      <c r="A43" s="78">
        <f>B42</f>
        <v>46065.683333333327</v>
      </c>
      <c r="B43" s="79">
        <f>Линия1118[[#This Row],[Дата начала]]+Линия1118[[#This Row],[Длительность]]</f>
        <v>46066.133333333324</v>
      </c>
      <c r="C43" s="28">
        <f>IF(E43="Вытеснение",TIME(0,30,0),
IF(E43="Передача смены",TIME(0,20,0),
IF(E43="Запуск",TIME(0,10,0),
IF(E43="CIP 1",TIME(0,60,0),
IF(E43="CIP 2",TIME(0,90,0),
IF(E43="CIP 3",TIME(0,210,0),
IF(AND(ISNUMBER(F43),ISNUMBER(D43),D43&gt;0),F43/D43/24,"Ошибка")))))))</f>
        <v>0.45</v>
      </c>
      <c r="D43" s="29">
        <v>50</v>
      </c>
      <c r="E43" s="29" t="s">
        <v>502</v>
      </c>
      <c r="F43" s="29">
        <v>540</v>
      </c>
      <c r="G43" s="29"/>
      <c r="H43" s="31" t="str">
        <f>IFERROR(Линия11[[#This Row],[Кол-во]]/Линия11[[#This Row],[Шт. в поддоне]], "")</f>
        <v/>
      </c>
    </row>
    <row r="44" spans="1:8" hidden="1" x14ac:dyDescent="0.25">
      <c r="A44" s="70">
        <v>46072.833333333336</v>
      </c>
      <c r="B44" s="79">
        <f>Линия1118[[#This Row],[Дата начала]]+Линия1118[[#This Row],[Длительность]]</f>
        <v>46073.283333333333</v>
      </c>
      <c r="C44" s="33">
        <f>IF(E44="Вытеснение",TIME(0,30,0),
IF(E44="Передача смены",TIME(0,20,0),
IF(E44="Запуск",TIME(0,10,0),
IF(E44="CIP 1",TIME(0,60,0),
IF(E44="CIP 2",TIME(0,90,0),
IF(E44="CIP 3",TIME(0,210,0),
IF(AND(ISNUMBER(F44),ISNUMBER(D44),D44&gt;0),F44/D44/24,"Ошибка")))))))</f>
        <v>0.45</v>
      </c>
      <c r="D44" s="34">
        <v>50</v>
      </c>
      <c r="E44" s="34" t="s">
        <v>503</v>
      </c>
      <c r="F44" s="34">
        <v>540</v>
      </c>
      <c r="G44" s="34"/>
      <c r="H44" s="88" t="str">
        <f>IFERROR(Линия11[[#This Row],[Кол-во]]/Линия11[[#This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scale="43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237C-CA2B-432E-910F-C2072DDEA698}">
  <sheetPr codeName="Лист13"/>
  <dimension ref="A1:H11"/>
  <sheetViews>
    <sheetView zoomScale="70" zoomScaleNormal="70" workbookViewId="0">
      <selection activeCell="E2" sqref="E2"/>
    </sheetView>
  </sheetViews>
  <sheetFormatPr defaultRowHeight="13.8" x14ac:dyDescent="0.25"/>
  <cols>
    <col min="1" max="1" width="16.19921875" customWidth="1"/>
    <col min="2" max="2" width="18.09765625" customWidth="1"/>
    <col min="3" max="3" width="13.8984375" style="62" bestFit="1" customWidth="1"/>
    <col min="4" max="4" width="9.3984375" style="84" bestFit="1" customWidth="1"/>
    <col min="5" max="5" width="82.8984375" customWidth="1"/>
    <col min="6" max="6" width="11.5" bestFit="1" customWidth="1"/>
    <col min="7" max="8" width="16.59765625" bestFit="1" customWidth="1"/>
    <col min="10" max="10" width="12.3984375" customWidth="1"/>
  </cols>
  <sheetData>
    <row r="1" spans="1:8" ht="20.399999999999999" x14ac:dyDescent="0.35">
      <c r="A1" s="165" t="s">
        <v>504</v>
      </c>
      <c r="B1" s="165"/>
      <c r="C1" s="165"/>
      <c r="D1" s="165"/>
      <c r="E1" s="165"/>
      <c r="F1" s="165"/>
      <c r="G1" s="165"/>
      <c r="H1" s="165"/>
    </row>
    <row r="2" spans="1:8" x14ac:dyDescent="0.25">
      <c r="A2" s="127" t="s">
        <v>145</v>
      </c>
      <c r="B2" s="128" t="s">
        <v>146</v>
      </c>
      <c r="C2" s="125" t="s">
        <v>147</v>
      </c>
      <c r="D2" s="104" t="s">
        <v>148</v>
      </c>
      <c r="E2" s="104" t="s">
        <v>505</v>
      </c>
      <c r="F2" s="104" t="s">
        <v>150</v>
      </c>
      <c r="G2" s="104" t="s">
        <v>151</v>
      </c>
      <c r="H2" s="105" t="s">
        <v>152</v>
      </c>
    </row>
    <row r="3" spans="1:8" hidden="1" x14ac:dyDescent="0.25">
      <c r="A3" s="78">
        <v>46009.333333333336</v>
      </c>
      <c r="B3" s="47">
        <f>Линия12[[#This Row],[Дата начала]]+Линия12[[#This Row],[Длительность]]</f>
        <v>46009.708333333336</v>
      </c>
      <c r="C3" s="28">
        <f t="shared" ref="C3:C11" si="0">IF(E3="Вытеснение",TIME(0,30,0),
IF(E3="Передача смены",TIME(0,20,0),
IF(E3="Запуск",TIME(0,10,0),
IF(E3="CIP 1",TIME(0,60,0),
IF(E3="CIP 2",TIME(0,90,0),
IF(E3="CIP 3",TIME(0,210,0),
IF(AND(ISNUMBER(F3),ISNUMBER(D3),D3&gt;0),F3/D3/24,"Ошибка")))))))</f>
        <v>0.375</v>
      </c>
      <c r="D3" s="29">
        <v>2000</v>
      </c>
      <c r="E3" s="112" t="s">
        <v>506</v>
      </c>
      <c r="F3" s="30">
        <v>18000</v>
      </c>
      <c r="G3" s="29"/>
      <c r="H3" s="31"/>
    </row>
    <row r="4" spans="1:8" hidden="1" x14ac:dyDescent="0.25">
      <c r="A4" s="78">
        <f>B3</f>
        <v>46009.708333333336</v>
      </c>
      <c r="B4" s="47">
        <f>Линия12[[#This Row],[Дата начала]]+Линия12[[#This Row],[Длительность]]</f>
        <v>46010.458333333336</v>
      </c>
      <c r="C4" s="28">
        <f t="shared" si="0"/>
        <v>0.75</v>
      </c>
      <c r="D4" s="29">
        <v>2000</v>
      </c>
      <c r="E4" s="112" t="s">
        <v>506</v>
      </c>
      <c r="F4" s="30">
        <v>36000</v>
      </c>
      <c r="G4" s="29"/>
      <c r="H4" s="31"/>
    </row>
    <row r="5" spans="1:8" hidden="1" x14ac:dyDescent="0.25">
      <c r="A5" s="78">
        <f t="shared" ref="A5:A8" si="1">B4</f>
        <v>46010.458333333336</v>
      </c>
      <c r="B5" s="47">
        <f>Линия12[[#This Row],[Дата начала]]+Линия12[[#This Row],[Длительность]]</f>
        <v>46011.958333333336</v>
      </c>
      <c r="C5" s="28">
        <f t="shared" si="0"/>
        <v>1.5</v>
      </c>
      <c r="D5" s="29">
        <v>2000</v>
      </c>
      <c r="E5" s="112" t="s">
        <v>506</v>
      </c>
      <c r="F5" s="30">
        <v>72000</v>
      </c>
      <c r="G5" s="29"/>
      <c r="H5" s="31"/>
    </row>
    <row r="6" spans="1:8" hidden="1" x14ac:dyDescent="0.25">
      <c r="A6" s="78">
        <f t="shared" si="1"/>
        <v>46011.958333333336</v>
      </c>
      <c r="B6" s="47">
        <f>Линия12[[#This Row],[Дата начала]]+Линия12[[#This Row],[Длительность]]</f>
        <v>46012.333333333336</v>
      </c>
      <c r="C6" s="28">
        <f t="shared" si="0"/>
        <v>0.375</v>
      </c>
      <c r="D6" s="29">
        <v>2000</v>
      </c>
      <c r="E6" s="112" t="s">
        <v>506</v>
      </c>
      <c r="F6" s="30">
        <v>18000</v>
      </c>
      <c r="G6" s="29"/>
      <c r="H6" s="31"/>
    </row>
    <row r="7" spans="1:8" hidden="1" x14ac:dyDescent="0.25">
      <c r="A7" s="78">
        <f t="shared" si="1"/>
        <v>46012.333333333336</v>
      </c>
      <c r="B7" s="47">
        <f>Линия12[[#This Row],[Дата начала]]+Линия12[[#This Row],[Длительность]]</f>
        <v>46012.708333333336</v>
      </c>
      <c r="C7" s="28">
        <f t="shared" si="0"/>
        <v>0.375</v>
      </c>
      <c r="D7" s="29">
        <v>2000</v>
      </c>
      <c r="E7" s="112" t="s">
        <v>506</v>
      </c>
      <c r="F7" s="30">
        <v>18000</v>
      </c>
      <c r="G7" s="29"/>
      <c r="H7" s="31"/>
    </row>
    <row r="8" spans="1:8" hidden="1" x14ac:dyDescent="0.25">
      <c r="A8" s="78">
        <f t="shared" si="1"/>
        <v>46012.708333333336</v>
      </c>
      <c r="B8" s="47">
        <f>Линия12[[#This Row],[Дата начала]]+Линия12[[#This Row],[Длительность]]</f>
        <v>46013.833333333336</v>
      </c>
      <c r="C8" s="28">
        <f t="shared" si="0"/>
        <v>1.125</v>
      </c>
      <c r="D8" s="29">
        <v>2000</v>
      </c>
      <c r="E8" s="112" t="s">
        <v>506</v>
      </c>
      <c r="F8" s="30">
        <v>54000</v>
      </c>
      <c r="G8" s="29"/>
      <c r="H8" s="31"/>
    </row>
    <row r="9" spans="1:8" hidden="1" x14ac:dyDescent="0.25">
      <c r="A9" s="78">
        <v>46026</v>
      </c>
      <c r="B9" s="47">
        <f>Линия12[[#This Row],[Дата начала]]+Линия12[[#This Row],[Длительность]]</f>
        <v>46027</v>
      </c>
      <c r="C9" s="28">
        <f t="shared" si="0"/>
        <v>1</v>
      </c>
      <c r="D9" s="29">
        <v>2250</v>
      </c>
      <c r="E9" s="112" t="s">
        <v>506</v>
      </c>
      <c r="F9" s="30">
        <v>54000</v>
      </c>
      <c r="G9" s="29"/>
      <c r="H9" s="31"/>
    </row>
    <row r="10" spans="1:8" hidden="1" x14ac:dyDescent="0.25">
      <c r="A10" s="78">
        <v>46034</v>
      </c>
      <c r="B10" s="47">
        <f>Линия12[[#This Row],[Дата начала]]+Линия12[[#This Row],[Длительность]]</f>
        <v>46035</v>
      </c>
      <c r="C10" s="28">
        <f t="shared" si="0"/>
        <v>1</v>
      </c>
      <c r="D10" s="29">
        <v>2250</v>
      </c>
      <c r="E10" s="112" t="s">
        <v>506</v>
      </c>
      <c r="F10" s="30">
        <v>54000</v>
      </c>
      <c r="G10" s="29"/>
      <c r="H10" s="31"/>
    </row>
    <row r="11" spans="1:8" hidden="1" x14ac:dyDescent="0.25">
      <c r="A11" s="70">
        <v>46034.833333333336</v>
      </c>
      <c r="B11" s="71">
        <f>Линия12[[#This Row],[Дата начала]]+Линия12[[#This Row],[Длительность]]</f>
        <v>46035.833333333336</v>
      </c>
      <c r="C11" s="33">
        <f t="shared" si="0"/>
        <v>1</v>
      </c>
      <c r="D11" s="34">
        <v>2250</v>
      </c>
      <c r="E11" s="34" t="s">
        <v>506</v>
      </c>
      <c r="F11" s="50">
        <v>54000</v>
      </c>
      <c r="G11" s="34"/>
      <c r="H11" s="88" t="str">
        <f>IFERROR(Линия12[[#This Row],[Количество]]/Линия12[[#This Row],[Шт. в поддоне]], "")</f>
        <v/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12C4-BDF2-496C-B9B8-A57EE998E042}">
  <sheetPr codeName="Лист21"/>
  <dimension ref="A1:AB141"/>
  <sheetViews>
    <sheetView tabSelected="1" topLeftCell="J1" workbookViewId="0">
      <pane ySplit="1" topLeftCell="A23" activePane="bottomLeft" state="frozen"/>
      <selection pane="bottomLeft" activeCell="K26" sqref="K26:R44"/>
    </sheetView>
  </sheetViews>
  <sheetFormatPr defaultRowHeight="13.8" x14ac:dyDescent="0.25"/>
  <cols>
    <col min="1" max="1" width="8.09765625" bestFit="1" customWidth="1"/>
    <col min="2" max="2" width="12.69921875" customWidth="1"/>
    <col min="3" max="3" width="12.59765625" bestFit="1" customWidth="1"/>
    <col min="4" max="4" width="6.69921875" bestFit="1" customWidth="1"/>
    <col min="5" max="5" width="8.296875" bestFit="1" customWidth="1"/>
    <col min="6" max="6" width="57" bestFit="1" customWidth="1"/>
    <col min="7" max="7" width="14.09765625" bestFit="1" customWidth="1"/>
    <col min="8" max="8" width="13.296875" bestFit="1" customWidth="1"/>
    <col min="9" max="9" width="13.8984375" bestFit="1" customWidth="1"/>
    <col min="10" max="10" width="7" bestFit="1" customWidth="1"/>
    <col min="12" max="12" width="9.8984375" bestFit="1" customWidth="1"/>
    <col min="13" max="13" width="10.69921875" bestFit="1" customWidth="1"/>
    <col min="14" max="14" width="12.296875" bestFit="1" customWidth="1"/>
    <col min="15" max="15" width="10.59765625" bestFit="1" customWidth="1"/>
    <col min="16" max="16" width="13.5" bestFit="1" customWidth="1"/>
    <col min="17" max="17" width="17.5" bestFit="1" customWidth="1"/>
    <col min="18" max="24" width="11.59765625" bestFit="1" customWidth="1"/>
    <col min="25" max="26" width="12.59765625" bestFit="1" customWidth="1"/>
    <col min="27" max="27" width="10.8984375" bestFit="1" customWidth="1"/>
    <col min="28" max="28" width="16.59765625" bestFit="1" customWidth="1"/>
  </cols>
  <sheetData>
    <row r="1" spans="1:28" x14ac:dyDescent="0.25">
      <c r="A1" s="139" t="s">
        <v>0</v>
      </c>
      <c r="B1" s="139" t="s">
        <v>507</v>
      </c>
      <c r="C1" s="139" t="s">
        <v>508</v>
      </c>
      <c r="D1" s="139" t="s">
        <v>509</v>
      </c>
      <c r="E1" s="139" t="s">
        <v>510</v>
      </c>
      <c r="F1" s="139" t="s">
        <v>149</v>
      </c>
      <c r="G1" s="139" t="s">
        <v>511</v>
      </c>
      <c r="H1" s="139" t="s">
        <v>512</v>
      </c>
      <c r="I1" s="139" t="s">
        <v>151</v>
      </c>
      <c r="J1" s="139" t="s">
        <v>513</v>
      </c>
      <c r="L1" s="73" t="s">
        <v>507</v>
      </c>
      <c r="M1" s="73" t="s">
        <v>508</v>
      </c>
      <c r="N1" s="73" t="s">
        <v>509</v>
      </c>
      <c r="O1" s="73" t="s">
        <v>510</v>
      </c>
      <c r="P1" s="73" t="s">
        <v>514</v>
      </c>
      <c r="Q1" s="73" t="s">
        <v>515</v>
      </c>
      <c r="R1" s="73" t="s">
        <v>516</v>
      </c>
      <c r="S1" s="73" t="s">
        <v>517</v>
      </c>
      <c r="T1" s="73" t="s">
        <v>518</v>
      </c>
      <c r="U1" s="73" t="s">
        <v>519</v>
      </c>
      <c r="V1" s="73" t="s">
        <v>520</v>
      </c>
      <c r="W1" s="73" t="s">
        <v>521</v>
      </c>
      <c r="X1" s="73" t="s">
        <v>522</v>
      </c>
      <c r="Y1" s="73" t="s">
        <v>523</v>
      </c>
      <c r="Z1" s="73" t="s">
        <v>524</v>
      </c>
      <c r="AA1" s="73" t="s">
        <v>62</v>
      </c>
      <c r="AB1" s="73" t="s">
        <v>525</v>
      </c>
    </row>
    <row r="2" spans="1:28" x14ac:dyDescent="0.25">
      <c r="A2" s="140" t="s">
        <v>515</v>
      </c>
      <c r="B2" s="141">
        <v>46081</v>
      </c>
      <c r="C2" s="140" t="s">
        <v>526</v>
      </c>
      <c r="D2" s="140" t="s">
        <v>527</v>
      </c>
      <c r="E2" s="140" t="s">
        <v>528</v>
      </c>
      <c r="F2" s="140" t="s">
        <v>153</v>
      </c>
      <c r="G2" s="140" t="s">
        <v>529</v>
      </c>
      <c r="H2" s="142"/>
      <c r="I2" s="142"/>
      <c r="J2" s="140">
        <v>8</v>
      </c>
      <c r="L2" s="143">
        <v>46078</v>
      </c>
      <c r="M2" s="73" t="s">
        <v>530</v>
      </c>
      <c r="N2" s="73" t="s">
        <v>527</v>
      </c>
      <c r="O2" s="73" t="s">
        <v>531</v>
      </c>
      <c r="P2" s="73"/>
      <c r="Q2" s="73"/>
      <c r="R2" s="144">
        <v>8</v>
      </c>
      <c r="S2" s="73"/>
      <c r="T2" s="144">
        <v>8</v>
      </c>
      <c r="U2" s="73"/>
      <c r="V2" s="73"/>
      <c r="W2" s="73"/>
      <c r="X2" s="73"/>
      <c r="Y2" s="73"/>
      <c r="Z2" s="73"/>
      <c r="AA2" s="73"/>
      <c r="AB2" s="145">
        <v>16</v>
      </c>
    </row>
    <row r="3" spans="1:28" x14ac:dyDescent="0.25">
      <c r="A3" s="140" t="s">
        <v>515</v>
      </c>
      <c r="B3" s="141">
        <v>46081</v>
      </c>
      <c r="C3" s="140" t="s">
        <v>526</v>
      </c>
      <c r="D3" s="140" t="s">
        <v>532</v>
      </c>
      <c r="E3" s="140" t="s">
        <v>533</v>
      </c>
      <c r="F3" s="140" t="s">
        <v>153</v>
      </c>
      <c r="G3" s="140" t="s">
        <v>534</v>
      </c>
      <c r="H3" s="142"/>
      <c r="I3" s="142"/>
      <c r="J3" s="140">
        <v>8</v>
      </c>
      <c r="L3" s="143">
        <v>46078</v>
      </c>
      <c r="M3" s="73" t="s">
        <v>530</v>
      </c>
      <c r="N3" s="73" t="s">
        <v>532</v>
      </c>
      <c r="O3" s="73" t="s">
        <v>535</v>
      </c>
      <c r="P3" s="73"/>
      <c r="Q3" s="73"/>
      <c r="R3" s="144">
        <v>8</v>
      </c>
      <c r="S3" s="144">
        <v>7</v>
      </c>
      <c r="T3" s="144">
        <v>8</v>
      </c>
      <c r="U3" s="73"/>
      <c r="V3" s="73"/>
      <c r="W3" s="73"/>
      <c r="X3" s="73"/>
      <c r="Y3" s="73"/>
      <c r="Z3" s="73"/>
      <c r="AA3" s="73"/>
      <c r="AB3" s="145">
        <v>23</v>
      </c>
    </row>
    <row r="4" spans="1:28" x14ac:dyDescent="0.25">
      <c r="A4" s="140" t="s">
        <v>515</v>
      </c>
      <c r="B4" s="141">
        <v>46081</v>
      </c>
      <c r="C4" s="140" t="s">
        <v>526</v>
      </c>
      <c r="D4" s="140" t="s">
        <v>532</v>
      </c>
      <c r="E4" s="140" t="s">
        <v>533</v>
      </c>
      <c r="F4" s="140" t="s">
        <v>161</v>
      </c>
      <c r="G4" s="140" t="s">
        <v>536</v>
      </c>
      <c r="H4" s="146">
        <v>73007</v>
      </c>
      <c r="I4" s="146">
        <v>1728</v>
      </c>
      <c r="J4" s="140">
        <v>8</v>
      </c>
      <c r="L4" s="143">
        <v>46079</v>
      </c>
      <c r="M4" s="73" t="s">
        <v>537</v>
      </c>
      <c r="N4" s="73" t="s">
        <v>527</v>
      </c>
      <c r="O4" s="73" t="s">
        <v>531</v>
      </c>
      <c r="P4" s="73"/>
      <c r="Q4" s="73"/>
      <c r="R4" s="73"/>
      <c r="S4" s="144">
        <v>7</v>
      </c>
      <c r="T4" s="144">
        <v>8</v>
      </c>
      <c r="U4" s="73"/>
      <c r="V4" s="73"/>
      <c r="W4" s="73"/>
      <c r="X4" s="73"/>
      <c r="Y4" s="73"/>
      <c r="Z4" s="73"/>
      <c r="AA4" s="73"/>
      <c r="AB4" s="145">
        <v>15</v>
      </c>
    </row>
    <row r="5" spans="1:28" x14ac:dyDescent="0.25">
      <c r="A5" s="140" t="s">
        <v>515</v>
      </c>
      <c r="B5" s="141">
        <v>46082</v>
      </c>
      <c r="C5" s="140" t="s">
        <v>538</v>
      </c>
      <c r="D5" s="140" t="s">
        <v>527</v>
      </c>
      <c r="E5" s="140" t="s">
        <v>535</v>
      </c>
      <c r="F5" s="140" t="s">
        <v>161</v>
      </c>
      <c r="G5" s="140" t="s">
        <v>539</v>
      </c>
      <c r="H5" s="146">
        <v>46993</v>
      </c>
      <c r="I5" s="146">
        <v>1728</v>
      </c>
      <c r="J5" s="140">
        <v>8</v>
      </c>
      <c r="L5" s="143">
        <v>46079</v>
      </c>
      <c r="M5" s="73" t="s">
        <v>537</v>
      </c>
      <c r="N5" s="73" t="s">
        <v>532</v>
      </c>
      <c r="O5" s="73" t="s">
        <v>535</v>
      </c>
      <c r="P5" s="73"/>
      <c r="Q5" s="73"/>
      <c r="R5" s="73"/>
      <c r="S5" s="144">
        <v>7</v>
      </c>
      <c r="T5" s="144">
        <v>8</v>
      </c>
      <c r="U5" s="73"/>
      <c r="V5" s="73"/>
      <c r="W5" s="73"/>
      <c r="X5" s="73"/>
      <c r="Y5" s="144">
        <v>4</v>
      </c>
      <c r="Z5" s="73"/>
      <c r="AA5" s="73"/>
      <c r="AB5" s="145">
        <v>19</v>
      </c>
    </row>
    <row r="6" spans="1:28" x14ac:dyDescent="0.25">
      <c r="A6" s="140" t="s">
        <v>515</v>
      </c>
      <c r="B6" s="141">
        <v>46082</v>
      </c>
      <c r="C6" s="140" t="s">
        <v>538</v>
      </c>
      <c r="D6" s="140" t="s">
        <v>527</v>
      </c>
      <c r="E6" s="140" t="s">
        <v>535</v>
      </c>
      <c r="F6" s="140" t="s">
        <v>153</v>
      </c>
      <c r="G6" s="140" t="s">
        <v>540</v>
      </c>
      <c r="H6" s="142"/>
      <c r="I6" s="142"/>
      <c r="J6" s="140">
        <v>8</v>
      </c>
      <c r="L6" s="143">
        <v>46080</v>
      </c>
      <c r="M6" s="73" t="s">
        <v>541</v>
      </c>
      <c r="N6" s="73" t="s">
        <v>527</v>
      </c>
      <c r="O6" s="73" t="s">
        <v>528</v>
      </c>
      <c r="P6" s="73"/>
      <c r="Q6" s="73"/>
      <c r="R6" s="144">
        <v>8</v>
      </c>
      <c r="S6" s="144">
        <v>7</v>
      </c>
      <c r="T6" s="73"/>
      <c r="U6" s="73"/>
      <c r="V6" s="73"/>
      <c r="W6" s="73"/>
      <c r="X6" s="73"/>
      <c r="Y6" s="144">
        <v>4</v>
      </c>
      <c r="Z6" s="73"/>
      <c r="AA6" s="73"/>
      <c r="AB6" s="145">
        <v>19</v>
      </c>
    </row>
    <row r="7" spans="1:28" x14ac:dyDescent="0.25">
      <c r="A7" s="140" t="s">
        <v>515</v>
      </c>
      <c r="B7" s="141">
        <v>46082</v>
      </c>
      <c r="C7" s="140" t="s">
        <v>538</v>
      </c>
      <c r="D7" s="140" t="s">
        <v>527</v>
      </c>
      <c r="E7" s="140" t="s">
        <v>535</v>
      </c>
      <c r="F7" s="140" t="s">
        <v>164</v>
      </c>
      <c r="G7" s="140" t="s">
        <v>542</v>
      </c>
      <c r="H7" s="146">
        <v>14757</v>
      </c>
      <c r="I7" s="146">
        <v>1728</v>
      </c>
      <c r="J7" s="140">
        <v>8</v>
      </c>
      <c r="L7" s="143">
        <v>46080</v>
      </c>
      <c r="M7" s="73" t="s">
        <v>541</v>
      </c>
      <c r="N7" s="73" t="s">
        <v>532</v>
      </c>
      <c r="O7" s="73" t="s">
        <v>533</v>
      </c>
      <c r="P7" s="73"/>
      <c r="Q7" s="73"/>
      <c r="R7" s="144">
        <v>8</v>
      </c>
      <c r="S7" s="73"/>
      <c r="T7" s="73"/>
      <c r="U7" s="73"/>
      <c r="V7" s="73"/>
      <c r="W7" s="73"/>
      <c r="X7" s="73"/>
      <c r="Y7" s="144">
        <v>4</v>
      </c>
      <c r="Z7" s="73"/>
      <c r="AA7" s="73"/>
      <c r="AB7" s="145">
        <v>12</v>
      </c>
    </row>
    <row r="8" spans="1:28" x14ac:dyDescent="0.25">
      <c r="A8" s="140" t="s">
        <v>515</v>
      </c>
      <c r="B8" s="141">
        <v>46082</v>
      </c>
      <c r="C8" s="140" t="s">
        <v>538</v>
      </c>
      <c r="D8" s="140" t="s">
        <v>532</v>
      </c>
      <c r="E8" s="140" t="s">
        <v>531</v>
      </c>
      <c r="F8" s="140" t="s">
        <v>164</v>
      </c>
      <c r="G8" s="140" t="s">
        <v>543</v>
      </c>
      <c r="H8" s="146">
        <v>78000</v>
      </c>
      <c r="I8" s="146">
        <v>1728</v>
      </c>
      <c r="J8" s="140">
        <v>8</v>
      </c>
      <c r="L8" s="147">
        <v>46081</v>
      </c>
      <c r="M8" s="148" t="s">
        <v>526</v>
      </c>
      <c r="N8" s="148" t="s">
        <v>527</v>
      </c>
      <c r="O8" s="148" t="s">
        <v>528</v>
      </c>
      <c r="P8" s="148"/>
      <c r="Q8" s="144">
        <v>8</v>
      </c>
      <c r="R8" s="144">
        <v>8</v>
      </c>
      <c r="S8" s="148"/>
      <c r="T8" s="148"/>
      <c r="U8" s="148"/>
      <c r="V8" s="148"/>
      <c r="W8" s="148"/>
      <c r="X8" s="148"/>
      <c r="Y8" s="144">
        <v>4</v>
      </c>
      <c r="Z8" s="148"/>
      <c r="AA8" s="148"/>
      <c r="AB8" s="149">
        <v>20</v>
      </c>
    </row>
    <row r="9" spans="1:28" x14ac:dyDescent="0.25">
      <c r="A9" s="150" t="s">
        <v>515</v>
      </c>
      <c r="B9" s="151">
        <v>46083</v>
      </c>
      <c r="C9" s="150" t="s">
        <v>544</v>
      </c>
      <c r="D9" s="150" t="s">
        <v>527</v>
      </c>
      <c r="E9" s="150" t="s">
        <v>535</v>
      </c>
      <c r="F9" s="150" t="s">
        <v>164</v>
      </c>
      <c r="G9" s="150" t="s">
        <v>545</v>
      </c>
      <c r="H9" s="152">
        <v>78000</v>
      </c>
      <c r="I9" s="152">
        <v>1728</v>
      </c>
      <c r="J9" s="150">
        <v>8</v>
      </c>
      <c r="L9" s="147">
        <v>46081</v>
      </c>
      <c r="M9" s="148" t="s">
        <v>526</v>
      </c>
      <c r="N9" s="148" t="s">
        <v>532</v>
      </c>
      <c r="O9" s="148" t="s">
        <v>533</v>
      </c>
      <c r="P9" s="148"/>
      <c r="Q9" s="144">
        <v>8</v>
      </c>
      <c r="R9" s="148"/>
      <c r="S9" s="148"/>
      <c r="T9" s="148"/>
      <c r="U9" s="148"/>
      <c r="V9" s="148"/>
      <c r="W9" s="148"/>
      <c r="X9" s="148"/>
      <c r="Y9" s="144">
        <v>4</v>
      </c>
      <c r="Z9" s="148"/>
      <c r="AA9" s="148"/>
      <c r="AB9" s="149">
        <v>12</v>
      </c>
    </row>
    <row r="10" spans="1:28" x14ac:dyDescent="0.25">
      <c r="A10" s="153" t="s">
        <v>515</v>
      </c>
      <c r="B10" s="154">
        <v>46083</v>
      </c>
      <c r="C10" s="153" t="s">
        <v>544</v>
      </c>
      <c r="D10" s="153" t="s">
        <v>532</v>
      </c>
      <c r="E10" s="153" t="s">
        <v>531</v>
      </c>
      <c r="F10" s="153" t="s">
        <v>164</v>
      </c>
      <c r="G10" s="153" t="s">
        <v>546</v>
      </c>
      <c r="H10" s="155">
        <v>29243</v>
      </c>
      <c r="I10" s="155">
        <v>1728</v>
      </c>
      <c r="J10" s="153">
        <v>8</v>
      </c>
      <c r="L10" s="147">
        <v>46082</v>
      </c>
      <c r="M10" s="148" t="s">
        <v>538</v>
      </c>
      <c r="N10" s="148" t="s">
        <v>527</v>
      </c>
      <c r="O10" s="148" t="s">
        <v>535</v>
      </c>
      <c r="P10" s="148"/>
      <c r="Q10" s="144">
        <v>8</v>
      </c>
      <c r="R10" s="148"/>
      <c r="S10" s="148"/>
      <c r="T10" s="148"/>
      <c r="U10" s="148"/>
      <c r="V10" s="148"/>
      <c r="W10" s="148"/>
      <c r="X10" s="148"/>
      <c r="Y10" s="144">
        <v>4</v>
      </c>
      <c r="Z10" s="148"/>
      <c r="AA10" s="148"/>
      <c r="AB10" s="149">
        <v>12</v>
      </c>
    </row>
    <row r="11" spans="1:28" x14ac:dyDescent="0.25">
      <c r="A11" s="150" t="s">
        <v>515</v>
      </c>
      <c r="B11" s="151">
        <v>46083</v>
      </c>
      <c r="C11" s="150" t="s">
        <v>544</v>
      </c>
      <c r="D11" s="150" t="s">
        <v>532</v>
      </c>
      <c r="E11" s="150" t="s">
        <v>531</v>
      </c>
      <c r="F11" s="150" t="s">
        <v>162</v>
      </c>
      <c r="G11" s="150" t="s">
        <v>547</v>
      </c>
      <c r="H11" s="142"/>
      <c r="I11" s="142"/>
      <c r="J11" s="150">
        <v>8</v>
      </c>
      <c r="L11" s="147">
        <v>46082</v>
      </c>
      <c r="M11" s="148" t="s">
        <v>538</v>
      </c>
      <c r="N11" s="148" t="s">
        <v>532</v>
      </c>
      <c r="O11" s="148" t="s">
        <v>531</v>
      </c>
      <c r="P11" s="148"/>
      <c r="Q11" s="144">
        <v>8</v>
      </c>
      <c r="R11" s="148"/>
      <c r="S11" s="148"/>
      <c r="T11" s="148"/>
      <c r="U11" s="148"/>
      <c r="V11" s="148"/>
      <c r="W11" s="148"/>
      <c r="X11" s="148"/>
      <c r="Y11" s="144">
        <v>4</v>
      </c>
      <c r="Z11" s="148"/>
      <c r="AA11" s="148"/>
      <c r="AB11" s="149">
        <v>12</v>
      </c>
    </row>
    <row r="12" spans="1:28" x14ac:dyDescent="0.25">
      <c r="A12" s="153" t="s">
        <v>515</v>
      </c>
      <c r="B12" s="154">
        <v>46083</v>
      </c>
      <c r="C12" s="153" t="s">
        <v>544</v>
      </c>
      <c r="D12" s="153" t="s">
        <v>532</v>
      </c>
      <c r="E12" s="153" t="s">
        <v>531</v>
      </c>
      <c r="F12" s="153" t="s">
        <v>168</v>
      </c>
      <c r="G12" s="153" t="s">
        <v>548</v>
      </c>
      <c r="H12" s="155">
        <v>45507</v>
      </c>
      <c r="I12" s="155">
        <v>1728</v>
      </c>
      <c r="J12" s="153">
        <v>8</v>
      </c>
      <c r="L12" s="143">
        <v>46083</v>
      </c>
      <c r="M12" s="73" t="s">
        <v>544</v>
      </c>
      <c r="N12" s="73" t="s">
        <v>527</v>
      </c>
      <c r="O12" s="73" t="s">
        <v>535</v>
      </c>
      <c r="P12" s="73"/>
      <c r="Q12" s="144">
        <v>8</v>
      </c>
      <c r="R12" s="73"/>
      <c r="S12" s="73"/>
      <c r="T12" s="73"/>
      <c r="U12" s="73"/>
      <c r="V12" s="73"/>
      <c r="W12" s="73"/>
      <c r="X12" s="73"/>
      <c r="Y12" s="144">
        <v>4</v>
      </c>
      <c r="Z12" s="73"/>
      <c r="AA12" s="73"/>
      <c r="AB12" s="145">
        <v>12</v>
      </c>
    </row>
    <row r="13" spans="1:28" x14ac:dyDescent="0.25">
      <c r="A13" s="150" t="s">
        <v>515</v>
      </c>
      <c r="B13" s="151">
        <v>46084</v>
      </c>
      <c r="C13" s="150" t="s">
        <v>549</v>
      </c>
      <c r="D13" s="150" t="s">
        <v>527</v>
      </c>
      <c r="E13" s="150" t="s">
        <v>533</v>
      </c>
      <c r="F13" s="150" t="s">
        <v>168</v>
      </c>
      <c r="G13" s="150" t="s">
        <v>545</v>
      </c>
      <c r="H13" s="152">
        <v>78000</v>
      </c>
      <c r="I13" s="152">
        <v>1728</v>
      </c>
      <c r="J13" s="150">
        <v>8</v>
      </c>
      <c r="L13" s="143">
        <v>46083</v>
      </c>
      <c r="M13" s="73" t="s">
        <v>544</v>
      </c>
      <c r="N13" s="73" t="s">
        <v>532</v>
      </c>
      <c r="O13" s="73" t="s">
        <v>531</v>
      </c>
      <c r="P13" s="73"/>
      <c r="Q13" s="144">
        <v>8</v>
      </c>
      <c r="R13" s="73"/>
      <c r="S13" s="73"/>
      <c r="T13" s="73"/>
      <c r="U13" s="73"/>
      <c r="V13" s="73"/>
      <c r="W13" s="73"/>
      <c r="X13" s="73"/>
      <c r="Y13" s="144">
        <v>4</v>
      </c>
      <c r="Z13" s="73"/>
      <c r="AA13" s="73"/>
      <c r="AB13" s="145">
        <v>12</v>
      </c>
    </row>
    <row r="14" spans="1:28" x14ac:dyDescent="0.25">
      <c r="A14" s="153" t="s">
        <v>515</v>
      </c>
      <c r="B14" s="154">
        <v>46084</v>
      </c>
      <c r="C14" s="153" t="s">
        <v>549</v>
      </c>
      <c r="D14" s="153" t="s">
        <v>532</v>
      </c>
      <c r="E14" s="153" t="s">
        <v>528</v>
      </c>
      <c r="F14" s="153" t="s">
        <v>168</v>
      </c>
      <c r="G14" s="153" t="s">
        <v>550</v>
      </c>
      <c r="H14" s="155">
        <v>76493</v>
      </c>
      <c r="I14" s="155">
        <v>1728</v>
      </c>
      <c r="J14" s="153">
        <v>8</v>
      </c>
      <c r="L14" s="143">
        <v>46084</v>
      </c>
      <c r="M14" s="73" t="s">
        <v>549</v>
      </c>
      <c r="N14" s="73" t="s">
        <v>527</v>
      </c>
      <c r="O14" s="73" t="s">
        <v>533</v>
      </c>
      <c r="P14" s="73"/>
      <c r="Q14" s="144">
        <v>8</v>
      </c>
      <c r="R14" s="73"/>
      <c r="S14" s="73"/>
      <c r="T14" s="73"/>
      <c r="U14" s="73"/>
      <c r="V14" s="73"/>
      <c r="W14" s="73"/>
      <c r="X14" s="73"/>
      <c r="Y14" s="144">
        <v>4</v>
      </c>
      <c r="Z14" s="73"/>
      <c r="AA14" s="73"/>
      <c r="AB14" s="145">
        <v>12</v>
      </c>
    </row>
    <row r="15" spans="1:28" x14ac:dyDescent="0.25">
      <c r="A15" s="150" t="s">
        <v>515</v>
      </c>
      <c r="B15" s="151">
        <v>46084</v>
      </c>
      <c r="C15" s="150" t="s">
        <v>549</v>
      </c>
      <c r="D15" s="150" t="s">
        <v>532</v>
      </c>
      <c r="E15" s="150" t="s">
        <v>528</v>
      </c>
      <c r="F15" s="150" t="s">
        <v>158</v>
      </c>
      <c r="G15" s="150" t="s">
        <v>551</v>
      </c>
      <c r="H15" s="142"/>
      <c r="I15" s="142"/>
      <c r="J15" s="150">
        <v>8</v>
      </c>
      <c r="L15" s="143">
        <v>46084</v>
      </c>
      <c r="M15" s="73" t="s">
        <v>549</v>
      </c>
      <c r="N15" s="73" t="s">
        <v>532</v>
      </c>
      <c r="O15" s="73" t="s">
        <v>528</v>
      </c>
      <c r="P15" s="73"/>
      <c r="Q15" s="144">
        <v>8</v>
      </c>
      <c r="R15" s="73"/>
      <c r="S15" s="73"/>
      <c r="T15" s="73"/>
      <c r="U15" s="73"/>
      <c r="V15" s="73"/>
      <c r="W15" s="73"/>
      <c r="X15" s="73"/>
      <c r="Y15" s="144">
        <v>4</v>
      </c>
      <c r="Z15" s="73"/>
      <c r="AA15" s="73"/>
      <c r="AB15" s="145">
        <v>12</v>
      </c>
    </row>
    <row r="16" spans="1:28" x14ac:dyDescent="0.25">
      <c r="A16" s="153" t="s">
        <v>515</v>
      </c>
      <c r="B16" s="154">
        <v>46085</v>
      </c>
      <c r="C16" s="153" t="s">
        <v>530</v>
      </c>
      <c r="D16" s="153" t="s">
        <v>527</v>
      </c>
      <c r="E16" s="153" t="s">
        <v>533</v>
      </c>
      <c r="F16" s="153" t="s">
        <v>158</v>
      </c>
      <c r="G16" s="153" t="s">
        <v>552</v>
      </c>
      <c r="H16" s="142"/>
      <c r="I16" s="142"/>
      <c r="J16" s="153">
        <v>8</v>
      </c>
      <c r="L16" s="143">
        <v>46085</v>
      </c>
      <c r="M16" s="73" t="s">
        <v>530</v>
      </c>
      <c r="N16" s="73" t="s">
        <v>527</v>
      </c>
      <c r="O16" s="73" t="s">
        <v>533</v>
      </c>
      <c r="P16" s="73"/>
      <c r="Q16" s="144">
        <v>8</v>
      </c>
      <c r="R16" s="73"/>
      <c r="S16" s="73"/>
      <c r="T16" s="73"/>
      <c r="U16" s="73"/>
      <c r="V16" s="73"/>
      <c r="W16" s="73"/>
      <c r="X16" s="73"/>
      <c r="Y16" s="144">
        <v>4</v>
      </c>
      <c r="Z16" s="73"/>
      <c r="AA16" s="73"/>
      <c r="AB16" s="145">
        <v>12</v>
      </c>
    </row>
    <row r="17" spans="1:28" x14ac:dyDescent="0.25">
      <c r="A17" s="150" t="s">
        <v>515</v>
      </c>
      <c r="B17" s="151">
        <v>46085</v>
      </c>
      <c r="C17" s="150" t="s">
        <v>530</v>
      </c>
      <c r="D17" s="150" t="s">
        <v>527</v>
      </c>
      <c r="E17" s="150" t="s">
        <v>533</v>
      </c>
      <c r="F17" s="150" t="s">
        <v>166</v>
      </c>
      <c r="G17" s="150" t="s">
        <v>553</v>
      </c>
      <c r="H17" s="152">
        <v>57840</v>
      </c>
      <c r="I17" s="152">
        <v>1728</v>
      </c>
      <c r="J17" s="150">
        <v>8</v>
      </c>
      <c r="L17" s="143">
        <v>46085</v>
      </c>
      <c r="M17" s="73" t="s">
        <v>530</v>
      </c>
      <c r="N17" s="73" t="s">
        <v>532</v>
      </c>
      <c r="O17" s="73" t="s">
        <v>528</v>
      </c>
      <c r="P17" s="73"/>
      <c r="Q17" s="144">
        <v>8</v>
      </c>
      <c r="R17" s="73"/>
      <c r="S17" s="73"/>
      <c r="T17" s="73"/>
      <c r="U17" s="73"/>
      <c r="V17" s="73"/>
      <c r="W17" s="73"/>
      <c r="X17" s="73"/>
      <c r="Y17" s="144">
        <v>4</v>
      </c>
      <c r="Z17" s="73"/>
      <c r="AA17" s="73"/>
      <c r="AB17" s="145">
        <v>12</v>
      </c>
    </row>
    <row r="18" spans="1:28" x14ac:dyDescent="0.25">
      <c r="A18" s="153" t="s">
        <v>515</v>
      </c>
      <c r="B18" s="154">
        <v>46085</v>
      </c>
      <c r="C18" s="153" t="s">
        <v>530</v>
      </c>
      <c r="D18" s="153" t="s">
        <v>532</v>
      </c>
      <c r="E18" s="153" t="s">
        <v>528</v>
      </c>
      <c r="F18" s="153" t="s">
        <v>166</v>
      </c>
      <c r="G18" s="153" t="s">
        <v>554</v>
      </c>
      <c r="H18" s="155">
        <v>62160</v>
      </c>
      <c r="I18" s="155">
        <v>1728</v>
      </c>
      <c r="J18" s="153">
        <v>8</v>
      </c>
      <c r="L18" s="143">
        <v>46086</v>
      </c>
      <c r="M18" s="73" t="s">
        <v>537</v>
      </c>
      <c r="N18" s="73" t="s">
        <v>527</v>
      </c>
      <c r="O18" s="73" t="s">
        <v>531</v>
      </c>
      <c r="P18" s="73"/>
      <c r="Q18" s="144">
        <v>8</v>
      </c>
      <c r="R18" s="73"/>
      <c r="S18" s="73"/>
      <c r="T18" s="73"/>
      <c r="U18" s="73"/>
      <c r="V18" s="73"/>
      <c r="W18" s="73"/>
      <c r="X18" s="73"/>
      <c r="Y18" s="144">
        <v>4</v>
      </c>
      <c r="Z18" s="73"/>
      <c r="AA18" s="73"/>
      <c r="AB18" s="145">
        <v>12</v>
      </c>
    </row>
    <row r="19" spans="1:28" x14ac:dyDescent="0.25">
      <c r="A19" s="150" t="s">
        <v>515</v>
      </c>
      <c r="B19" s="151">
        <v>46085</v>
      </c>
      <c r="C19" s="150" t="s">
        <v>530</v>
      </c>
      <c r="D19" s="150" t="s">
        <v>532</v>
      </c>
      <c r="E19" s="150" t="s">
        <v>528</v>
      </c>
      <c r="F19" s="150" t="s">
        <v>158</v>
      </c>
      <c r="G19" s="150" t="s">
        <v>555</v>
      </c>
      <c r="H19" s="142"/>
      <c r="I19" s="142"/>
      <c r="J19" s="150">
        <v>8</v>
      </c>
      <c r="L19" s="143">
        <v>46086</v>
      </c>
      <c r="M19" s="73" t="s">
        <v>537</v>
      </c>
      <c r="N19" s="73" t="s">
        <v>532</v>
      </c>
      <c r="O19" s="73" t="s">
        <v>535</v>
      </c>
      <c r="P19" s="73"/>
      <c r="Q19" s="73"/>
      <c r="R19" s="73"/>
      <c r="S19" s="73"/>
      <c r="T19" s="73"/>
      <c r="U19" s="73"/>
      <c r="V19" s="73"/>
      <c r="W19" s="73"/>
      <c r="X19" s="73"/>
      <c r="Y19" s="144">
        <v>4</v>
      </c>
      <c r="Z19" s="73"/>
      <c r="AA19" s="73"/>
      <c r="AB19" s="145">
        <v>4</v>
      </c>
    </row>
    <row r="20" spans="1:28" x14ac:dyDescent="0.25">
      <c r="A20" s="153" t="s">
        <v>515</v>
      </c>
      <c r="B20" s="154">
        <v>46086</v>
      </c>
      <c r="C20" s="153" t="s">
        <v>537</v>
      </c>
      <c r="D20" s="153" t="s">
        <v>527</v>
      </c>
      <c r="E20" s="153" t="s">
        <v>531</v>
      </c>
      <c r="F20" s="153" t="s">
        <v>158</v>
      </c>
      <c r="G20" s="153" t="s">
        <v>556</v>
      </c>
      <c r="H20" s="142"/>
      <c r="I20" s="142"/>
      <c r="J20" s="153">
        <v>8</v>
      </c>
      <c r="L20" s="143">
        <v>46087</v>
      </c>
      <c r="M20" s="73" t="s">
        <v>541</v>
      </c>
      <c r="N20" s="73" t="s">
        <v>527</v>
      </c>
      <c r="O20" s="73" t="s">
        <v>531</v>
      </c>
      <c r="P20" s="73"/>
      <c r="Q20" s="73"/>
      <c r="R20" s="73"/>
      <c r="S20" s="73"/>
      <c r="T20" s="73"/>
      <c r="U20" s="73"/>
      <c r="V20" s="73"/>
      <c r="W20" s="73"/>
      <c r="X20" s="73"/>
      <c r="Y20" s="144">
        <v>4</v>
      </c>
      <c r="Z20" s="73"/>
      <c r="AA20" s="73"/>
      <c r="AB20" s="145">
        <v>4</v>
      </c>
    </row>
    <row r="21" spans="1:28" x14ac:dyDescent="0.25">
      <c r="A21" s="150" t="s">
        <v>516</v>
      </c>
      <c r="B21" s="151">
        <v>46078</v>
      </c>
      <c r="C21" s="150" t="s">
        <v>530</v>
      </c>
      <c r="D21" s="150" t="s">
        <v>527</v>
      </c>
      <c r="E21" s="150" t="s">
        <v>531</v>
      </c>
      <c r="F21" s="150" t="s">
        <v>153</v>
      </c>
      <c r="G21" s="150" t="s">
        <v>557</v>
      </c>
      <c r="H21" s="142"/>
      <c r="I21" s="142"/>
      <c r="J21" s="150">
        <v>8</v>
      </c>
      <c r="L21" s="143">
        <v>46087</v>
      </c>
      <c r="M21" s="73" t="s">
        <v>541</v>
      </c>
      <c r="N21" s="73" t="s">
        <v>532</v>
      </c>
      <c r="O21" s="73" t="s">
        <v>535</v>
      </c>
      <c r="P21" s="73"/>
      <c r="Q21" s="73"/>
      <c r="R21" s="73"/>
      <c r="S21" s="73"/>
      <c r="T21" s="73"/>
      <c r="U21" s="73"/>
      <c r="V21" s="73"/>
      <c r="W21" s="73"/>
      <c r="X21" s="73"/>
      <c r="Y21" s="144">
        <v>4</v>
      </c>
      <c r="Z21" s="73"/>
      <c r="AA21" s="73"/>
      <c r="AB21" s="145">
        <v>4</v>
      </c>
    </row>
    <row r="22" spans="1:28" x14ac:dyDescent="0.25">
      <c r="A22" s="153" t="s">
        <v>516</v>
      </c>
      <c r="B22" s="154">
        <v>46078</v>
      </c>
      <c r="C22" s="153" t="s">
        <v>530</v>
      </c>
      <c r="D22" s="153" t="s">
        <v>527</v>
      </c>
      <c r="E22" s="153" t="s">
        <v>531</v>
      </c>
      <c r="F22" s="153" t="s">
        <v>219</v>
      </c>
      <c r="G22" s="153" t="s">
        <v>558</v>
      </c>
      <c r="H22" s="155">
        <v>30000</v>
      </c>
      <c r="I22" s="155">
        <v>480</v>
      </c>
      <c r="J22" s="153">
        <v>8</v>
      </c>
      <c r="L22" s="147">
        <v>46088</v>
      </c>
      <c r="M22" s="148" t="s">
        <v>526</v>
      </c>
      <c r="N22" s="148" t="s">
        <v>527</v>
      </c>
      <c r="O22" s="148" t="s">
        <v>528</v>
      </c>
      <c r="P22" s="148"/>
      <c r="Q22" s="148"/>
      <c r="R22" s="148"/>
      <c r="S22" s="148"/>
      <c r="T22" s="148"/>
      <c r="U22" s="148"/>
      <c r="V22" s="148"/>
      <c r="W22" s="148"/>
      <c r="X22" s="148"/>
      <c r="Y22" s="144">
        <v>4</v>
      </c>
      <c r="Z22" s="148"/>
      <c r="AA22" s="148"/>
      <c r="AB22" s="149">
        <v>4</v>
      </c>
    </row>
    <row r="23" spans="1:28" x14ac:dyDescent="0.25">
      <c r="A23" s="150" t="s">
        <v>516</v>
      </c>
      <c r="B23" s="151">
        <v>46078</v>
      </c>
      <c r="C23" s="150" t="s">
        <v>530</v>
      </c>
      <c r="D23" s="150" t="s">
        <v>527</v>
      </c>
      <c r="E23" s="150" t="s">
        <v>531</v>
      </c>
      <c r="F23" s="150" t="s">
        <v>153</v>
      </c>
      <c r="G23" s="150" t="s">
        <v>559</v>
      </c>
      <c r="H23" s="142"/>
      <c r="I23" s="142"/>
      <c r="J23" s="150">
        <v>8</v>
      </c>
      <c r="L23" s="147">
        <v>46088</v>
      </c>
      <c r="M23" s="148" t="s">
        <v>526</v>
      </c>
      <c r="N23" s="148" t="s">
        <v>532</v>
      </c>
      <c r="O23" s="148" t="s">
        <v>533</v>
      </c>
      <c r="P23" s="148"/>
      <c r="Q23" s="148"/>
      <c r="R23" s="148"/>
      <c r="S23" s="148"/>
      <c r="T23" s="148"/>
      <c r="U23" s="148"/>
      <c r="V23" s="148"/>
      <c r="W23" s="148"/>
      <c r="X23" s="148"/>
      <c r="Y23" s="144">
        <v>4</v>
      </c>
      <c r="Z23" s="148"/>
      <c r="AA23" s="148"/>
      <c r="AB23" s="149">
        <v>4</v>
      </c>
    </row>
    <row r="24" spans="1:28" x14ac:dyDescent="0.25">
      <c r="A24" s="153" t="s">
        <v>516</v>
      </c>
      <c r="B24" s="154">
        <v>46078</v>
      </c>
      <c r="C24" s="153" t="s">
        <v>530</v>
      </c>
      <c r="D24" s="153" t="s">
        <v>527</v>
      </c>
      <c r="E24" s="153" t="s">
        <v>531</v>
      </c>
      <c r="F24" s="153" t="s">
        <v>211</v>
      </c>
      <c r="G24" s="153" t="s">
        <v>560</v>
      </c>
      <c r="H24" s="155">
        <v>1770</v>
      </c>
      <c r="I24" s="155">
        <v>480</v>
      </c>
      <c r="J24" s="153">
        <v>8</v>
      </c>
      <c r="L24" s="147">
        <v>46089</v>
      </c>
      <c r="M24" s="148" t="s">
        <v>538</v>
      </c>
      <c r="N24" s="148" t="s">
        <v>527</v>
      </c>
      <c r="O24" s="148" t="s">
        <v>528</v>
      </c>
      <c r="P24" s="148"/>
      <c r="Q24" s="148"/>
      <c r="R24" s="148"/>
      <c r="S24" s="148"/>
      <c r="T24" s="148"/>
      <c r="U24" s="148"/>
      <c r="V24" s="148"/>
      <c r="W24" s="148"/>
      <c r="X24" s="148"/>
      <c r="Y24" s="144">
        <v>4</v>
      </c>
      <c r="Z24" s="148"/>
      <c r="AA24" s="148"/>
      <c r="AB24" s="149">
        <v>4</v>
      </c>
    </row>
    <row r="25" spans="1:28" x14ac:dyDescent="0.25">
      <c r="A25" s="150" t="s">
        <v>516</v>
      </c>
      <c r="B25" s="151">
        <v>46078</v>
      </c>
      <c r="C25" s="150" t="s">
        <v>530</v>
      </c>
      <c r="D25" s="150" t="s">
        <v>532</v>
      </c>
      <c r="E25" s="150" t="s">
        <v>535</v>
      </c>
      <c r="F25" s="150" t="s">
        <v>211</v>
      </c>
      <c r="G25" s="150" t="s">
        <v>561</v>
      </c>
      <c r="H25" s="152">
        <v>28230</v>
      </c>
      <c r="I25" s="152">
        <v>480</v>
      </c>
      <c r="J25" s="150">
        <v>8</v>
      </c>
    </row>
    <row r="26" spans="1:28" x14ac:dyDescent="0.25">
      <c r="A26" s="153" t="s">
        <v>516</v>
      </c>
      <c r="B26" s="154">
        <v>46078</v>
      </c>
      <c r="C26" s="153" t="s">
        <v>530</v>
      </c>
      <c r="D26" s="153" t="s">
        <v>532</v>
      </c>
      <c r="E26" s="153" t="s">
        <v>535</v>
      </c>
      <c r="F26" s="153" t="s">
        <v>158</v>
      </c>
      <c r="G26" s="153" t="s">
        <v>562</v>
      </c>
      <c r="H26" s="142"/>
      <c r="I26" s="142"/>
      <c r="J26" s="153">
        <v>8</v>
      </c>
    </row>
    <row r="27" spans="1:28" ht="15.6" x14ac:dyDescent="0.3">
      <c r="A27" s="150" t="s">
        <v>516</v>
      </c>
      <c r="B27" s="151">
        <v>46080</v>
      </c>
      <c r="C27" s="150" t="s">
        <v>541</v>
      </c>
      <c r="D27" s="150" t="s">
        <v>527</v>
      </c>
      <c r="E27" s="150" t="s">
        <v>528</v>
      </c>
      <c r="F27" s="150" t="s">
        <v>197</v>
      </c>
      <c r="G27" s="150" t="s">
        <v>563</v>
      </c>
      <c r="H27" s="142"/>
      <c r="I27" s="142"/>
      <c r="J27" s="150">
        <v>8</v>
      </c>
      <c r="L27" s="156"/>
    </row>
    <row r="28" spans="1:28" x14ac:dyDescent="0.25">
      <c r="A28" s="153" t="s">
        <v>516</v>
      </c>
      <c r="B28" s="154">
        <v>46080</v>
      </c>
      <c r="C28" s="153" t="s">
        <v>541</v>
      </c>
      <c r="D28" s="153" t="s">
        <v>527</v>
      </c>
      <c r="E28" s="153" t="s">
        <v>528</v>
      </c>
      <c r="F28" s="153" t="s">
        <v>201</v>
      </c>
      <c r="G28" s="153" t="s">
        <v>564</v>
      </c>
      <c r="H28" s="155">
        <v>39191</v>
      </c>
      <c r="I28" s="155">
        <v>480</v>
      </c>
      <c r="J28" s="153">
        <v>8</v>
      </c>
      <c r="L28" s="73"/>
      <c r="M28" s="73"/>
      <c r="N28" s="73"/>
      <c r="O28" s="73"/>
      <c r="P28" s="157"/>
      <c r="Q28" s="158"/>
    </row>
    <row r="29" spans="1:28" x14ac:dyDescent="0.25">
      <c r="A29" s="150" t="s">
        <v>516</v>
      </c>
      <c r="B29" s="151">
        <v>46080</v>
      </c>
      <c r="C29" s="150" t="s">
        <v>541</v>
      </c>
      <c r="D29" s="150" t="s">
        <v>532</v>
      </c>
      <c r="E29" s="150" t="s">
        <v>533</v>
      </c>
      <c r="F29" s="150" t="s">
        <v>201</v>
      </c>
      <c r="G29" s="150" t="s">
        <v>565</v>
      </c>
      <c r="H29" s="152">
        <v>10809</v>
      </c>
      <c r="I29" s="152">
        <v>480</v>
      </c>
      <c r="J29" s="150">
        <v>8</v>
      </c>
      <c r="L29" s="143"/>
      <c r="M29" s="73"/>
      <c r="N29" s="73"/>
      <c r="O29" s="73"/>
      <c r="P29" s="157"/>
      <c r="Q29" s="158"/>
    </row>
    <row r="30" spans="1:28" x14ac:dyDescent="0.25">
      <c r="A30" s="153" t="s">
        <v>516</v>
      </c>
      <c r="B30" s="154">
        <v>46080</v>
      </c>
      <c r="C30" s="153" t="s">
        <v>541</v>
      </c>
      <c r="D30" s="153" t="s">
        <v>532</v>
      </c>
      <c r="E30" s="153" t="s">
        <v>533</v>
      </c>
      <c r="F30" s="153" t="s">
        <v>153</v>
      </c>
      <c r="G30" s="153" t="s">
        <v>566</v>
      </c>
      <c r="H30" s="142"/>
      <c r="I30" s="142"/>
      <c r="J30" s="153">
        <v>8</v>
      </c>
      <c r="L30" s="143"/>
      <c r="M30" s="73"/>
      <c r="N30" s="73"/>
      <c r="O30" s="73"/>
      <c r="P30" s="157"/>
      <c r="Q30" s="158"/>
    </row>
    <row r="31" spans="1:28" x14ac:dyDescent="0.25">
      <c r="A31" s="150" t="s">
        <v>516</v>
      </c>
      <c r="B31" s="151">
        <v>46080</v>
      </c>
      <c r="C31" s="150" t="s">
        <v>541</v>
      </c>
      <c r="D31" s="150" t="s">
        <v>532</v>
      </c>
      <c r="E31" s="150" t="s">
        <v>533</v>
      </c>
      <c r="F31" s="150" t="s">
        <v>201</v>
      </c>
      <c r="G31" s="150" t="s">
        <v>567</v>
      </c>
      <c r="H31" s="152">
        <v>24341</v>
      </c>
      <c r="I31" s="152">
        <v>480</v>
      </c>
      <c r="J31" s="150">
        <v>8</v>
      </c>
      <c r="L31" s="143"/>
      <c r="M31" s="73"/>
      <c r="N31" s="73"/>
      <c r="O31" s="73"/>
      <c r="P31" s="157"/>
      <c r="Q31" s="158"/>
    </row>
    <row r="32" spans="1:28" x14ac:dyDescent="0.25">
      <c r="A32" s="140" t="s">
        <v>516</v>
      </c>
      <c r="B32" s="141">
        <v>46081</v>
      </c>
      <c r="C32" s="140" t="s">
        <v>526</v>
      </c>
      <c r="D32" s="140" t="s">
        <v>527</v>
      </c>
      <c r="E32" s="140" t="s">
        <v>528</v>
      </c>
      <c r="F32" s="140" t="s">
        <v>201</v>
      </c>
      <c r="G32" s="140" t="s">
        <v>568</v>
      </c>
      <c r="H32" s="146">
        <v>25659</v>
      </c>
      <c r="I32" s="146">
        <v>480</v>
      </c>
      <c r="J32" s="140">
        <v>8</v>
      </c>
      <c r="L32" s="143"/>
      <c r="M32" s="73"/>
      <c r="N32" s="73"/>
      <c r="O32" s="73"/>
      <c r="P32" s="157"/>
      <c r="Q32" s="158"/>
    </row>
    <row r="33" spans="1:17" x14ac:dyDescent="0.25">
      <c r="A33" s="140" t="s">
        <v>516</v>
      </c>
      <c r="B33" s="141">
        <v>46081</v>
      </c>
      <c r="C33" s="140" t="s">
        <v>526</v>
      </c>
      <c r="D33" s="140" t="s">
        <v>527</v>
      </c>
      <c r="E33" s="140" t="s">
        <v>528</v>
      </c>
      <c r="F33" s="140" t="s">
        <v>158</v>
      </c>
      <c r="G33" s="140" t="s">
        <v>569</v>
      </c>
      <c r="H33" s="142"/>
      <c r="I33" s="142"/>
      <c r="J33" s="140">
        <v>8</v>
      </c>
      <c r="L33" s="143"/>
      <c r="M33" s="73"/>
      <c r="N33" s="73"/>
      <c r="O33" s="73"/>
      <c r="P33" s="157"/>
      <c r="Q33" s="158"/>
    </row>
    <row r="34" spans="1:17" x14ac:dyDescent="0.25">
      <c r="A34" s="153" t="s">
        <v>517</v>
      </c>
      <c r="B34" s="154">
        <v>46078</v>
      </c>
      <c r="C34" s="153" t="s">
        <v>530</v>
      </c>
      <c r="D34" s="153" t="s">
        <v>532</v>
      </c>
      <c r="E34" s="153" t="s">
        <v>535</v>
      </c>
      <c r="F34" s="153" t="s">
        <v>153</v>
      </c>
      <c r="G34" s="153" t="s">
        <v>570</v>
      </c>
      <c r="H34" s="142"/>
      <c r="I34" s="142"/>
      <c r="J34" s="153">
        <v>7</v>
      </c>
      <c r="L34" s="143"/>
      <c r="M34" s="73"/>
      <c r="N34" s="73"/>
      <c r="O34" s="73"/>
      <c r="P34" s="157"/>
      <c r="Q34" s="158"/>
    </row>
    <row r="35" spans="1:17" x14ac:dyDescent="0.25">
      <c r="A35" s="150" t="s">
        <v>517</v>
      </c>
      <c r="B35" s="151">
        <v>46079</v>
      </c>
      <c r="C35" s="150" t="s">
        <v>537</v>
      </c>
      <c r="D35" s="150" t="s">
        <v>527</v>
      </c>
      <c r="E35" s="150" t="s">
        <v>531</v>
      </c>
      <c r="F35" s="150" t="s">
        <v>153</v>
      </c>
      <c r="G35" s="150" t="s">
        <v>571</v>
      </c>
      <c r="H35" s="142"/>
      <c r="I35" s="142"/>
      <c r="J35" s="150">
        <v>7</v>
      </c>
      <c r="L35" s="143"/>
      <c r="M35" s="73"/>
      <c r="N35" s="73"/>
      <c r="O35" s="73"/>
      <c r="P35" s="157"/>
      <c r="Q35" s="158"/>
    </row>
    <row r="36" spans="1:17" x14ac:dyDescent="0.25">
      <c r="A36" s="153" t="s">
        <v>517</v>
      </c>
      <c r="B36" s="154">
        <v>46079</v>
      </c>
      <c r="C36" s="153" t="s">
        <v>537</v>
      </c>
      <c r="D36" s="153" t="s">
        <v>527</v>
      </c>
      <c r="E36" s="153" t="s">
        <v>531</v>
      </c>
      <c r="F36" s="153" t="s">
        <v>258</v>
      </c>
      <c r="G36" s="153" t="s">
        <v>572</v>
      </c>
      <c r="H36" s="155">
        <v>7350</v>
      </c>
      <c r="I36" s="155">
        <v>1470</v>
      </c>
      <c r="J36" s="153">
        <v>7</v>
      </c>
      <c r="L36" s="143"/>
      <c r="M36" s="73"/>
      <c r="N36" s="73"/>
      <c r="O36" s="73"/>
      <c r="P36" s="157"/>
      <c r="Q36" s="158"/>
    </row>
    <row r="37" spans="1:17" x14ac:dyDescent="0.25">
      <c r="A37" s="150" t="s">
        <v>517</v>
      </c>
      <c r="B37" s="151">
        <v>46079</v>
      </c>
      <c r="C37" s="150" t="s">
        <v>537</v>
      </c>
      <c r="D37" s="150" t="s">
        <v>527</v>
      </c>
      <c r="E37" s="150" t="s">
        <v>531</v>
      </c>
      <c r="F37" s="150" t="s">
        <v>180</v>
      </c>
      <c r="G37" s="150" t="s">
        <v>573</v>
      </c>
      <c r="H37" s="142"/>
      <c r="I37" s="142"/>
      <c r="J37" s="150">
        <v>7</v>
      </c>
      <c r="L37" s="143"/>
      <c r="M37" s="73"/>
      <c r="N37" s="73"/>
      <c r="O37" s="73"/>
      <c r="P37" s="157"/>
      <c r="Q37" s="158"/>
    </row>
    <row r="38" spans="1:17" x14ac:dyDescent="0.25">
      <c r="A38" s="153" t="s">
        <v>517</v>
      </c>
      <c r="B38" s="154">
        <v>46079</v>
      </c>
      <c r="C38" s="153" t="s">
        <v>537</v>
      </c>
      <c r="D38" s="153" t="s">
        <v>527</v>
      </c>
      <c r="E38" s="153" t="s">
        <v>531</v>
      </c>
      <c r="F38" s="153" t="s">
        <v>248</v>
      </c>
      <c r="G38" s="153" t="s">
        <v>574</v>
      </c>
      <c r="H38" s="155">
        <v>7350</v>
      </c>
      <c r="I38" s="155">
        <v>1470</v>
      </c>
      <c r="J38" s="153">
        <v>7</v>
      </c>
      <c r="L38" s="143"/>
      <c r="M38" s="73"/>
      <c r="N38" s="73"/>
      <c r="O38" s="73"/>
      <c r="P38" s="157"/>
      <c r="Q38" s="158"/>
    </row>
    <row r="39" spans="1:17" x14ac:dyDescent="0.25">
      <c r="A39" s="150" t="s">
        <v>517</v>
      </c>
      <c r="B39" s="151">
        <v>46079</v>
      </c>
      <c r="C39" s="150" t="s">
        <v>537</v>
      </c>
      <c r="D39" s="150" t="s">
        <v>527</v>
      </c>
      <c r="E39" s="150" t="s">
        <v>531</v>
      </c>
      <c r="F39" s="150" t="s">
        <v>180</v>
      </c>
      <c r="G39" s="150" t="s">
        <v>575</v>
      </c>
      <c r="H39" s="142"/>
      <c r="I39" s="142"/>
      <c r="J39" s="150">
        <v>7</v>
      </c>
      <c r="L39" s="143"/>
      <c r="M39" s="73"/>
      <c r="N39" s="73"/>
      <c r="O39" s="73"/>
      <c r="P39" s="157"/>
      <c r="Q39" s="158"/>
    </row>
    <row r="40" spans="1:17" x14ac:dyDescent="0.25">
      <c r="A40" s="153" t="s">
        <v>517</v>
      </c>
      <c r="B40" s="154">
        <v>46079</v>
      </c>
      <c r="C40" s="153" t="s">
        <v>537</v>
      </c>
      <c r="D40" s="153" t="s">
        <v>527</v>
      </c>
      <c r="E40" s="153" t="s">
        <v>531</v>
      </c>
      <c r="F40" s="153" t="s">
        <v>232</v>
      </c>
      <c r="G40" s="153" t="s">
        <v>576</v>
      </c>
      <c r="H40" s="155">
        <v>2490</v>
      </c>
      <c r="I40" s="155">
        <v>1470</v>
      </c>
      <c r="J40" s="153">
        <v>7</v>
      </c>
      <c r="L40" s="143"/>
      <c r="M40" s="73"/>
      <c r="N40" s="73"/>
      <c r="O40" s="73"/>
      <c r="P40" s="157"/>
      <c r="Q40" s="158"/>
    </row>
    <row r="41" spans="1:17" x14ac:dyDescent="0.25">
      <c r="A41" s="150" t="s">
        <v>517</v>
      </c>
      <c r="B41" s="151">
        <v>46079</v>
      </c>
      <c r="C41" s="150" t="s">
        <v>537</v>
      </c>
      <c r="D41" s="150" t="s">
        <v>527</v>
      </c>
      <c r="E41" s="150" t="s">
        <v>531</v>
      </c>
      <c r="F41" s="150" t="s">
        <v>180</v>
      </c>
      <c r="G41" s="150" t="s">
        <v>577</v>
      </c>
      <c r="H41" s="142"/>
      <c r="I41" s="142"/>
      <c r="J41" s="150">
        <v>7</v>
      </c>
      <c r="L41" s="145"/>
      <c r="M41" s="145"/>
      <c r="N41" s="145"/>
      <c r="O41" s="145"/>
      <c r="P41" s="159"/>
      <c r="Q41" s="160"/>
    </row>
    <row r="42" spans="1:17" x14ac:dyDescent="0.25">
      <c r="A42" s="153" t="s">
        <v>517</v>
      </c>
      <c r="B42" s="154">
        <v>46079</v>
      </c>
      <c r="C42" s="153" t="s">
        <v>537</v>
      </c>
      <c r="D42" s="153" t="s">
        <v>527</v>
      </c>
      <c r="E42" s="153" t="s">
        <v>531</v>
      </c>
      <c r="F42" s="153" t="s">
        <v>231</v>
      </c>
      <c r="G42" s="153" t="s">
        <v>578</v>
      </c>
      <c r="H42" s="155">
        <v>14700</v>
      </c>
      <c r="I42" s="155">
        <v>1470</v>
      </c>
      <c r="J42" s="153">
        <v>7</v>
      </c>
    </row>
    <row r="43" spans="1:17" x14ac:dyDescent="0.25">
      <c r="A43" s="150" t="s">
        <v>517</v>
      </c>
      <c r="B43" s="151">
        <v>46079</v>
      </c>
      <c r="C43" s="150" t="s">
        <v>537</v>
      </c>
      <c r="D43" s="150" t="s">
        <v>527</v>
      </c>
      <c r="E43" s="150" t="s">
        <v>531</v>
      </c>
      <c r="F43" s="150" t="s">
        <v>180</v>
      </c>
      <c r="G43" s="150" t="s">
        <v>579</v>
      </c>
      <c r="H43" s="142"/>
      <c r="I43" s="142"/>
      <c r="J43" s="150">
        <v>7</v>
      </c>
    </row>
    <row r="44" spans="1:17" x14ac:dyDescent="0.25">
      <c r="A44" s="153" t="s">
        <v>517</v>
      </c>
      <c r="B44" s="154">
        <v>46079</v>
      </c>
      <c r="C44" s="153" t="s">
        <v>537</v>
      </c>
      <c r="D44" s="153" t="s">
        <v>527</v>
      </c>
      <c r="E44" s="153" t="s">
        <v>531</v>
      </c>
      <c r="F44" s="153" t="s">
        <v>234</v>
      </c>
      <c r="G44" s="153" t="s">
        <v>580</v>
      </c>
      <c r="H44" s="155">
        <v>21516</v>
      </c>
      <c r="I44" s="155">
        <v>1470</v>
      </c>
      <c r="J44" s="153">
        <v>7</v>
      </c>
    </row>
    <row r="45" spans="1:17" x14ac:dyDescent="0.25">
      <c r="A45" s="150" t="s">
        <v>517</v>
      </c>
      <c r="B45" s="151">
        <v>46079</v>
      </c>
      <c r="C45" s="150" t="s">
        <v>537</v>
      </c>
      <c r="D45" s="150" t="s">
        <v>532</v>
      </c>
      <c r="E45" s="150" t="s">
        <v>535</v>
      </c>
      <c r="F45" s="150" t="s">
        <v>234</v>
      </c>
      <c r="G45" s="150" t="s">
        <v>581</v>
      </c>
      <c r="H45" s="152">
        <v>6484</v>
      </c>
      <c r="I45" s="152">
        <v>1470</v>
      </c>
      <c r="J45" s="150">
        <v>7</v>
      </c>
    </row>
    <row r="46" spans="1:17" x14ac:dyDescent="0.25">
      <c r="A46" s="153" t="s">
        <v>517</v>
      </c>
      <c r="B46" s="154">
        <v>46079</v>
      </c>
      <c r="C46" s="153" t="s">
        <v>537</v>
      </c>
      <c r="D46" s="153" t="s">
        <v>532</v>
      </c>
      <c r="E46" s="153" t="s">
        <v>535</v>
      </c>
      <c r="F46" s="153" t="s">
        <v>153</v>
      </c>
      <c r="G46" s="153" t="s">
        <v>582</v>
      </c>
      <c r="H46" s="142"/>
      <c r="I46" s="142"/>
      <c r="J46" s="153">
        <v>7</v>
      </c>
    </row>
    <row r="47" spans="1:17" x14ac:dyDescent="0.25">
      <c r="A47" s="150" t="s">
        <v>517</v>
      </c>
      <c r="B47" s="151">
        <v>46079</v>
      </c>
      <c r="C47" s="150" t="s">
        <v>537</v>
      </c>
      <c r="D47" s="150" t="s">
        <v>532</v>
      </c>
      <c r="E47" s="150" t="s">
        <v>535</v>
      </c>
      <c r="F47" s="150" t="s">
        <v>259</v>
      </c>
      <c r="G47" s="150" t="s">
        <v>583</v>
      </c>
      <c r="H47" s="152">
        <v>7350</v>
      </c>
      <c r="I47" s="152">
        <v>1470</v>
      </c>
      <c r="J47" s="150">
        <v>7</v>
      </c>
    </row>
    <row r="48" spans="1:17" x14ac:dyDescent="0.25">
      <c r="A48" s="153" t="s">
        <v>517</v>
      </c>
      <c r="B48" s="154">
        <v>46079</v>
      </c>
      <c r="C48" s="153" t="s">
        <v>537</v>
      </c>
      <c r="D48" s="153" t="s">
        <v>532</v>
      </c>
      <c r="E48" s="153" t="s">
        <v>535</v>
      </c>
      <c r="F48" s="153" t="s">
        <v>180</v>
      </c>
      <c r="G48" s="153" t="s">
        <v>584</v>
      </c>
      <c r="H48" s="142"/>
      <c r="I48" s="142"/>
      <c r="J48" s="153">
        <v>7</v>
      </c>
    </row>
    <row r="49" spans="1:10" x14ac:dyDescent="0.25">
      <c r="A49" s="150" t="s">
        <v>517</v>
      </c>
      <c r="B49" s="151">
        <v>46079</v>
      </c>
      <c r="C49" s="150" t="s">
        <v>537</v>
      </c>
      <c r="D49" s="150" t="s">
        <v>532</v>
      </c>
      <c r="E49" s="150" t="s">
        <v>535</v>
      </c>
      <c r="F49" s="150" t="s">
        <v>260</v>
      </c>
      <c r="G49" s="150" t="s">
        <v>585</v>
      </c>
      <c r="H49" s="152">
        <v>7350</v>
      </c>
      <c r="I49" s="152">
        <v>1470</v>
      </c>
      <c r="J49" s="150">
        <v>7</v>
      </c>
    </row>
    <row r="50" spans="1:10" x14ac:dyDescent="0.25">
      <c r="A50" s="153" t="s">
        <v>517</v>
      </c>
      <c r="B50" s="154">
        <v>46079</v>
      </c>
      <c r="C50" s="153" t="s">
        <v>537</v>
      </c>
      <c r="D50" s="153" t="s">
        <v>532</v>
      </c>
      <c r="E50" s="153" t="s">
        <v>535</v>
      </c>
      <c r="F50" s="153" t="s">
        <v>180</v>
      </c>
      <c r="G50" s="153" t="s">
        <v>586</v>
      </c>
      <c r="H50" s="142"/>
      <c r="I50" s="142"/>
      <c r="J50" s="153">
        <v>7</v>
      </c>
    </row>
    <row r="51" spans="1:10" x14ac:dyDescent="0.25">
      <c r="A51" s="150" t="s">
        <v>517</v>
      </c>
      <c r="B51" s="151">
        <v>46079</v>
      </c>
      <c r="C51" s="150" t="s">
        <v>537</v>
      </c>
      <c r="D51" s="150" t="s">
        <v>532</v>
      </c>
      <c r="E51" s="150" t="s">
        <v>535</v>
      </c>
      <c r="F51" s="150" t="s">
        <v>253</v>
      </c>
      <c r="G51" s="150" t="s">
        <v>587</v>
      </c>
      <c r="H51" s="152">
        <v>14700</v>
      </c>
      <c r="I51" s="152">
        <v>1470</v>
      </c>
      <c r="J51" s="150">
        <v>7</v>
      </c>
    </row>
    <row r="52" spans="1:10" x14ac:dyDescent="0.25">
      <c r="A52" s="153" t="s">
        <v>517</v>
      </c>
      <c r="B52" s="154">
        <v>46079</v>
      </c>
      <c r="C52" s="153" t="s">
        <v>537</v>
      </c>
      <c r="D52" s="153" t="s">
        <v>532</v>
      </c>
      <c r="E52" s="153" t="s">
        <v>535</v>
      </c>
      <c r="F52" s="153" t="s">
        <v>158</v>
      </c>
      <c r="G52" s="153" t="s">
        <v>588</v>
      </c>
      <c r="H52" s="142"/>
      <c r="I52" s="142"/>
      <c r="J52" s="153">
        <v>7</v>
      </c>
    </row>
    <row r="53" spans="1:10" x14ac:dyDescent="0.25">
      <c r="A53" s="150" t="s">
        <v>517</v>
      </c>
      <c r="B53" s="151">
        <v>46080</v>
      </c>
      <c r="C53" s="150" t="s">
        <v>541</v>
      </c>
      <c r="D53" s="150" t="s">
        <v>527</v>
      </c>
      <c r="E53" s="150" t="s">
        <v>528</v>
      </c>
      <c r="F53" s="150" t="s">
        <v>158</v>
      </c>
      <c r="G53" s="150" t="s">
        <v>589</v>
      </c>
      <c r="H53" s="142"/>
      <c r="I53" s="142"/>
      <c r="J53" s="150">
        <v>7</v>
      </c>
    </row>
    <row r="54" spans="1:10" x14ac:dyDescent="0.25">
      <c r="A54" s="153" t="s">
        <v>518</v>
      </c>
      <c r="B54" s="154">
        <v>46078</v>
      </c>
      <c r="C54" s="153" t="s">
        <v>530</v>
      </c>
      <c r="D54" s="153" t="s">
        <v>527</v>
      </c>
      <c r="E54" s="153" t="s">
        <v>531</v>
      </c>
      <c r="F54" s="153" t="s">
        <v>197</v>
      </c>
      <c r="G54" s="153" t="s">
        <v>590</v>
      </c>
      <c r="H54" s="142"/>
      <c r="I54" s="142"/>
      <c r="J54" s="153">
        <v>8</v>
      </c>
    </row>
    <row r="55" spans="1:10" x14ac:dyDescent="0.25">
      <c r="A55" s="150" t="s">
        <v>518</v>
      </c>
      <c r="B55" s="151">
        <v>46078</v>
      </c>
      <c r="C55" s="150" t="s">
        <v>530</v>
      </c>
      <c r="D55" s="150" t="s">
        <v>527</v>
      </c>
      <c r="E55" s="150" t="s">
        <v>531</v>
      </c>
      <c r="F55" s="150" t="s">
        <v>348</v>
      </c>
      <c r="G55" s="150" t="s">
        <v>591</v>
      </c>
      <c r="H55" s="152">
        <v>3000</v>
      </c>
      <c r="I55" s="152">
        <v>384</v>
      </c>
      <c r="J55" s="150">
        <v>8</v>
      </c>
    </row>
    <row r="56" spans="1:10" x14ac:dyDescent="0.25">
      <c r="A56" s="153" t="s">
        <v>518</v>
      </c>
      <c r="B56" s="154">
        <v>46078</v>
      </c>
      <c r="C56" s="153" t="s">
        <v>530</v>
      </c>
      <c r="D56" s="153" t="s">
        <v>527</v>
      </c>
      <c r="E56" s="153" t="s">
        <v>531</v>
      </c>
      <c r="F56" s="153" t="s">
        <v>197</v>
      </c>
      <c r="G56" s="153" t="s">
        <v>592</v>
      </c>
      <c r="H56" s="142"/>
      <c r="I56" s="142"/>
      <c r="J56" s="153">
        <v>8</v>
      </c>
    </row>
    <row r="57" spans="1:10" x14ac:dyDescent="0.25">
      <c r="A57" s="150" t="s">
        <v>518</v>
      </c>
      <c r="B57" s="151">
        <v>46078</v>
      </c>
      <c r="C57" s="150" t="s">
        <v>530</v>
      </c>
      <c r="D57" s="150" t="s">
        <v>527</v>
      </c>
      <c r="E57" s="150" t="s">
        <v>531</v>
      </c>
      <c r="F57" s="150" t="s">
        <v>349</v>
      </c>
      <c r="G57" s="150" t="s">
        <v>593</v>
      </c>
      <c r="H57" s="152">
        <v>3000</v>
      </c>
      <c r="I57" s="152">
        <v>384</v>
      </c>
      <c r="J57" s="150">
        <v>8</v>
      </c>
    </row>
    <row r="58" spans="1:10" x14ac:dyDescent="0.25">
      <c r="A58" s="153" t="s">
        <v>518</v>
      </c>
      <c r="B58" s="154">
        <v>46078</v>
      </c>
      <c r="C58" s="153" t="s">
        <v>530</v>
      </c>
      <c r="D58" s="153" t="s">
        <v>527</v>
      </c>
      <c r="E58" s="153" t="s">
        <v>531</v>
      </c>
      <c r="F58" s="153" t="s">
        <v>197</v>
      </c>
      <c r="G58" s="153" t="s">
        <v>594</v>
      </c>
      <c r="H58" s="142"/>
      <c r="I58" s="142"/>
      <c r="J58" s="153">
        <v>8</v>
      </c>
    </row>
    <row r="59" spans="1:10" x14ac:dyDescent="0.25">
      <c r="A59" s="150" t="s">
        <v>518</v>
      </c>
      <c r="B59" s="151">
        <v>46078</v>
      </c>
      <c r="C59" s="150" t="s">
        <v>530</v>
      </c>
      <c r="D59" s="150" t="s">
        <v>527</v>
      </c>
      <c r="E59" s="150" t="s">
        <v>531</v>
      </c>
      <c r="F59" s="150" t="s">
        <v>350</v>
      </c>
      <c r="G59" s="150" t="s">
        <v>595</v>
      </c>
      <c r="H59" s="152">
        <v>4500</v>
      </c>
      <c r="I59" s="152">
        <v>384</v>
      </c>
      <c r="J59" s="150">
        <v>8</v>
      </c>
    </row>
    <row r="60" spans="1:10" x14ac:dyDescent="0.25">
      <c r="A60" s="153" t="s">
        <v>518</v>
      </c>
      <c r="B60" s="154">
        <v>46078</v>
      </c>
      <c r="C60" s="153" t="s">
        <v>530</v>
      </c>
      <c r="D60" s="153" t="s">
        <v>527</v>
      </c>
      <c r="E60" s="153" t="s">
        <v>531</v>
      </c>
      <c r="F60" s="153" t="s">
        <v>197</v>
      </c>
      <c r="G60" s="153" t="s">
        <v>596</v>
      </c>
      <c r="H60" s="142"/>
      <c r="I60" s="142"/>
      <c r="J60" s="153">
        <v>8</v>
      </c>
    </row>
    <row r="61" spans="1:10" x14ac:dyDescent="0.25">
      <c r="A61" s="150" t="s">
        <v>518</v>
      </c>
      <c r="B61" s="151">
        <v>46078</v>
      </c>
      <c r="C61" s="150" t="s">
        <v>530</v>
      </c>
      <c r="D61" s="150" t="s">
        <v>527</v>
      </c>
      <c r="E61" s="150" t="s">
        <v>531</v>
      </c>
      <c r="F61" s="150" t="s">
        <v>280</v>
      </c>
      <c r="G61" s="150" t="s">
        <v>597</v>
      </c>
      <c r="H61" s="152">
        <v>10767</v>
      </c>
      <c r="I61" s="152">
        <v>384</v>
      </c>
      <c r="J61" s="150">
        <v>8</v>
      </c>
    </row>
    <row r="62" spans="1:10" x14ac:dyDescent="0.25">
      <c r="A62" s="153" t="s">
        <v>518</v>
      </c>
      <c r="B62" s="154">
        <v>46078</v>
      </c>
      <c r="C62" s="153" t="s">
        <v>530</v>
      </c>
      <c r="D62" s="153" t="s">
        <v>532</v>
      </c>
      <c r="E62" s="153" t="s">
        <v>535</v>
      </c>
      <c r="F62" s="153" t="s">
        <v>280</v>
      </c>
      <c r="G62" s="153" t="s">
        <v>598</v>
      </c>
      <c r="H62" s="155">
        <v>4233</v>
      </c>
      <c r="I62" s="155">
        <v>384</v>
      </c>
      <c r="J62" s="153">
        <v>8</v>
      </c>
    </row>
    <row r="63" spans="1:10" x14ac:dyDescent="0.25">
      <c r="A63" s="150" t="s">
        <v>518</v>
      </c>
      <c r="B63" s="151">
        <v>46078</v>
      </c>
      <c r="C63" s="150" t="s">
        <v>530</v>
      </c>
      <c r="D63" s="150" t="s">
        <v>532</v>
      </c>
      <c r="E63" s="150" t="s">
        <v>535</v>
      </c>
      <c r="F63" s="150" t="s">
        <v>197</v>
      </c>
      <c r="G63" s="150" t="s">
        <v>599</v>
      </c>
      <c r="H63" s="142"/>
      <c r="I63" s="142"/>
      <c r="J63" s="150">
        <v>8</v>
      </c>
    </row>
    <row r="64" spans="1:10" x14ac:dyDescent="0.25">
      <c r="A64" s="153" t="s">
        <v>518</v>
      </c>
      <c r="B64" s="154">
        <v>46078</v>
      </c>
      <c r="C64" s="153" t="s">
        <v>530</v>
      </c>
      <c r="D64" s="153" t="s">
        <v>532</v>
      </c>
      <c r="E64" s="153" t="s">
        <v>535</v>
      </c>
      <c r="F64" s="153" t="s">
        <v>351</v>
      </c>
      <c r="G64" s="153" t="s">
        <v>600</v>
      </c>
      <c r="H64" s="155">
        <v>3000</v>
      </c>
      <c r="I64" s="155">
        <v>384</v>
      </c>
      <c r="J64" s="153">
        <v>8</v>
      </c>
    </row>
    <row r="65" spans="1:10" x14ac:dyDescent="0.25">
      <c r="A65" s="150" t="s">
        <v>518</v>
      </c>
      <c r="B65" s="151">
        <v>46078</v>
      </c>
      <c r="C65" s="150" t="s">
        <v>530</v>
      </c>
      <c r="D65" s="150" t="s">
        <v>532</v>
      </c>
      <c r="E65" s="150" t="s">
        <v>535</v>
      </c>
      <c r="F65" s="150" t="s">
        <v>197</v>
      </c>
      <c r="G65" s="150" t="s">
        <v>601</v>
      </c>
      <c r="H65" s="142"/>
      <c r="I65" s="142"/>
      <c r="J65" s="150">
        <v>8</v>
      </c>
    </row>
    <row r="66" spans="1:10" x14ac:dyDescent="0.25">
      <c r="A66" s="153" t="s">
        <v>518</v>
      </c>
      <c r="B66" s="154">
        <v>46078</v>
      </c>
      <c r="C66" s="153" t="s">
        <v>530</v>
      </c>
      <c r="D66" s="153" t="s">
        <v>532</v>
      </c>
      <c r="E66" s="153" t="s">
        <v>535</v>
      </c>
      <c r="F66" s="153" t="s">
        <v>352</v>
      </c>
      <c r="G66" s="153" t="s">
        <v>602</v>
      </c>
      <c r="H66" s="155">
        <v>3000</v>
      </c>
      <c r="I66" s="155">
        <v>384</v>
      </c>
      <c r="J66" s="153">
        <v>8</v>
      </c>
    </row>
    <row r="67" spans="1:10" x14ac:dyDescent="0.25">
      <c r="A67" s="150" t="s">
        <v>518</v>
      </c>
      <c r="B67" s="151">
        <v>46078</v>
      </c>
      <c r="C67" s="150" t="s">
        <v>530</v>
      </c>
      <c r="D67" s="150" t="s">
        <v>532</v>
      </c>
      <c r="E67" s="150" t="s">
        <v>535</v>
      </c>
      <c r="F67" s="150" t="s">
        <v>153</v>
      </c>
      <c r="G67" s="150" t="s">
        <v>603</v>
      </c>
      <c r="H67" s="142"/>
      <c r="I67" s="142"/>
      <c r="J67" s="150">
        <v>8</v>
      </c>
    </row>
    <row r="68" spans="1:10" x14ac:dyDescent="0.25">
      <c r="A68" s="153" t="s">
        <v>518</v>
      </c>
      <c r="B68" s="154">
        <v>46078</v>
      </c>
      <c r="C68" s="153" t="s">
        <v>530</v>
      </c>
      <c r="D68" s="153" t="s">
        <v>532</v>
      </c>
      <c r="E68" s="153" t="s">
        <v>535</v>
      </c>
      <c r="F68" s="153" t="s">
        <v>353</v>
      </c>
      <c r="G68" s="153" t="s">
        <v>604</v>
      </c>
      <c r="H68" s="155">
        <v>11400</v>
      </c>
      <c r="I68" s="155">
        <v>384</v>
      </c>
      <c r="J68" s="153">
        <v>8</v>
      </c>
    </row>
    <row r="69" spans="1:10" x14ac:dyDescent="0.25">
      <c r="A69" s="150" t="s">
        <v>518</v>
      </c>
      <c r="B69" s="151">
        <v>46079</v>
      </c>
      <c r="C69" s="150" t="s">
        <v>537</v>
      </c>
      <c r="D69" s="150" t="s">
        <v>527</v>
      </c>
      <c r="E69" s="150" t="s">
        <v>531</v>
      </c>
      <c r="F69" s="150" t="s">
        <v>353</v>
      </c>
      <c r="G69" s="150" t="s">
        <v>605</v>
      </c>
      <c r="H69" s="152">
        <v>3600</v>
      </c>
      <c r="I69" s="152">
        <v>384</v>
      </c>
      <c r="J69" s="150">
        <v>8</v>
      </c>
    </row>
    <row r="70" spans="1:10" x14ac:dyDescent="0.25">
      <c r="A70" s="153" t="s">
        <v>518</v>
      </c>
      <c r="B70" s="154">
        <v>46079</v>
      </c>
      <c r="C70" s="153" t="s">
        <v>537</v>
      </c>
      <c r="D70" s="153" t="s">
        <v>527</v>
      </c>
      <c r="E70" s="153" t="s">
        <v>531</v>
      </c>
      <c r="F70" s="153" t="s">
        <v>197</v>
      </c>
      <c r="G70" s="153" t="s">
        <v>606</v>
      </c>
      <c r="H70" s="142"/>
      <c r="I70" s="142"/>
      <c r="J70" s="153">
        <v>8</v>
      </c>
    </row>
    <row r="71" spans="1:10" x14ac:dyDescent="0.25">
      <c r="A71" s="150" t="s">
        <v>518</v>
      </c>
      <c r="B71" s="151">
        <v>46079</v>
      </c>
      <c r="C71" s="150" t="s">
        <v>537</v>
      </c>
      <c r="D71" s="150" t="s">
        <v>527</v>
      </c>
      <c r="E71" s="150" t="s">
        <v>531</v>
      </c>
      <c r="F71" s="150" t="s">
        <v>284</v>
      </c>
      <c r="G71" s="150" t="s">
        <v>607</v>
      </c>
      <c r="H71" s="152">
        <v>15000</v>
      </c>
      <c r="I71" s="152">
        <v>384</v>
      </c>
      <c r="J71" s="150">
        <v>8</v>
      </c>
    </row>
    <row r="72" spans="1:10" x14ac:dyDescent="0.25">
      <c r="A72" s="153" t="s">
        <v>518</v>
      </c>
      <c r="B72" s="154">
        <v>46079</v>
      </c>
      <c r="C72" s="153" t="s">
        <v>537</v>
      </c>
      <c r="D72" s="153" t="s">
        <v>527</v>
      </c>
      <c r="E72" s="153" t="s">
        <v>531</v>
      </c>
      <c r="F72" s="153" t="s">
        <v>197</v>
      </c>
      <c r="G72" s="153" t="s">
        <v>608</v>
      </c>
      <c r="H72" s="142"/>
      <c r="I72" s="142"/>
      <c r="J72" s="153">
        <v>8</v>
      </c>
    </row>
    <row r="73" spans="1:10" x14ac:dyDescent="0.25">
      <c r="A73" s="150" t="s">
        <v>518</v>
      </c>
      <c r="B73" s="151">
        <v>46079</v>
      </c>
      <c r="C73" s="150" t="s">
        <v>537</v>
      </c>
      <c r="D73" s="150" t="s">
        <v>527</v>
      </c>
      <c r="E73" s="150" t="s">
        <v>531</v>
      </c>
      <c r="F73" s="150" t="s">
        <v>277</v>
      </c>
      <c r="G73" s="150" t="s">
        <v>609</v>
      </c>
      <c r="H73" s="152">
        <v>6000</v>
      </c>
      <c r="I73" s="152">
        <v>384</v>
      </c>
      <c r="J73" s="150">
        <v>8</v>
      </c>
    </row>
    <row r="74" spans="1:10" x14ac:dyDescent="0.25">
      <c r="A74" s="153" t="s">
        <v>518</v>
      </c>
      <c r="B74" s="154">
        <v>46079</v>
      </c>
      <c r="C74" s="153" t="s">
        <v>537</v>
      </c>
      <c r="D74" s="153" t="s">
        <v>527</v>
      </c>
      <c r="E74" s="153" t="s">
        <v>531</v>
      </c>
      <c r="F74" s="153" t="s">
        <v>153</v>
      </c>
      <c r="G74" s="153" t="s">
        <v>610</v>
      </c>
      <c r="H74" s="142"/>
      <c r="I74" s="142"/>
      <c r="J74" s="153">
        <v>8</v>
      </c>
    </row>
    <row r="75" spans="1:10" x14ac:dyDescent="0.25">
      <c r="A75" s="150" t="s">
        <v>518</v>
      </c>
      <c r="B75" s="151">
        <v>46079</v>
      </c>
      <c r="C75" s="150" t="s">
        <v>537</v>
      </c>
      <c r="D75" s="150" t="s">
        <v>532</v>
      </c>
      <c r="E75" s="150" t="s">
        <v>535</v>
      </c>
      <c r="F75" s="150" t="s">
        <v>153</v>
      </c>
      <c r="G75" s="150" t="s">
        <v>611</v>
      </c>
      <c r="H75" s="142"/>
      <c r="I75" s="142"/>
      <c r="J75" s="150">
        <v>8</v>
      </c>
    </row>
    <row r="76" spans="1:10" x14ac:dyDescent="0.25">
      <c r="A76" s="153" t="s">
        <v>523</v>
      </c>
      <c r="B76" s="154">
        <v>46079</v>
      </c>
      <c r="C76" s="153" t="s">
        <v>537</v>
      </c>
      <c r="D76" s="153" t="s">
        <v>532</v>
      </c>
      <c r="E76" s="153" t="s">
        <v>535</v>
      </c>
      <c r="F76" s="153" t="s">
        <v>153</v>
      </c>
      <c r="G76" s="153" t="s">
        <v>612</v>
      </c>
      <c r="H76" s="142"/>
      <c r="I76" s="142"/>
      <c r="J76" s="153">
        <v>4</v>
      </c>
    </row>
    <row r="77" spans="1:10" x14ac:dyDescent="0.25">
      <c r="A77" s="150" t="s">
        <v>523</v>
      </c>
      <c r="B77" s="151">
        <v>46079</v>
      </c>
      <c r="C77" s="150" t="s">
        <v>537</v>
      </c>
      <c r="D77" s="150" t="s">
        <v>532</v>
      </c>
      <c r="E77" s="150" t="s">
        <v>535</v>
      </c>
      <c r="F77" s="150" t="s">
        <v>478</v>
      </c>
      <c r="G77" s="150" t="s">
        <v>613</v>
      </c>
      <c r="H77" s="152">
        <v>4118</v>
      </c>
      <c r="I77" s="152">
        <v>432</v>
      </c>
      <c r="J77" s="150">
        <v>4</v>
      </c>
    </row>
    <row r="78" spans="1:10" x14ac:dyDescent="0.25">
      <c r="A78" s="153" t="s">
        <v>523</v>
      </c>
      <c r="B78" s="154">
        <v>46080</v>
      </c>
      <c r="C78" s="153" t="s">
        <v>541</v>
      </c>
      <c r="D78" s="153" t="s">
        <v>527</v>
      </c>
      <c r="E78" s="153" t="s">
        <v>528</v>
      </c>
      <c r="F78" s="153" t="s">
        <v>478</v>
      </c>
      <c r="G78" s="153" t="s">
        <v>614</v>
      </c>
      <c r="H78" s="155">
        <v>382</v>
      </c>
      <c r="I78" s="155">
        <v>432</v>
      </c>
      <c r="J78" s="153">
        <v>4</v>
      </c>
    </row>
    <row r="79" spans="1:10" x14ac:dyDescent="0.25">
      <c r="A79" s="150" t="s">
        <v>523</v>
      </c>
      <c r="B79" s="151">
        <v>46080</v>
      </c>
      <c r="C79" s="150" t="s">
        <v>541</v>
      </c>
      <c r="D79" s="150" t="s">
        <v>527</v>
      </c>
      <c r="E79" s="150" t="s">
        <v>528</v>
      </c>
      <c r="F79" s="150" t="s">
        <v>197</v>
      </c>
      <c r="G79" s="150" t="s">
        <v>615</v>
      </c>
      <c r="H79" s="142"/>
      <c r="I79" s="142"/>
      <c r="J79" s="150">
        <v>4</v>
      </c>
    </row>
    <row r="80" spans="1:10" x14ac:dyDescent="0.25">
      <c r="A80" s="153" t="s">
        <v>523</v>
      </c>
      <c r="B80" s="154">
        <v>46080</v>
      </c>
      <c r="C80" s="153" t="s">
        <v>541</v>
      </c>
      <c r="D80" s="153" t="s">
        <v>527</v>
      </c>
      <c r="E80" s="153" t="s">
        <v>528</v>
      </c>
      <c r="F80" s="153" t="s">
        <v>451</v>
      </c>
      <c r="G80" s="153" t="s">
        <v>616</v>
      </c>
      <c r="H80" s="155">
        <v>3000</v>
      </c>
      <c r="I80" s="155">
        <v>432</v>
      </c>
      <c r="J80" s="153">
        <v>4</v>
      </c>
    </row>
    <row r="81" spans="1:10" x14ac:dyDescent="0.25">
      <c r="A81" s="150" t="s">
        <v>523</v>
      </c>
      <c r="B81" s="151">
        <v>46080</v>
      </c>
      <c r="C81" s="150" t="s">
        <v>541</v>
      </c>
      <c r="D81" s="150" t="s">
        <v>527</v>
      </c>
      <c r="E81" s="150" t="s">
        <v>528</v>
      </c>
      <c r="F81" s="150" t="s">
        <v>153</v>
      </c>
      <c r="G81" s="150" t="s">
        <v>617</v>
      </c>
      <c r="H81" s="142"/>
      <c r="I81" s="142"/>
      <c r="J81" s="150">
        <v>4</v>
      </c>
    </row>
    <row r="82" spans="1:10" x14ac:dyDescent="0.25">
      <c r="A82" s="153" t="s">
        <v>523</v>
      </c>
      <c r="B82" s="154">
        <v>46080</v>
      </c>
      <c r="C82" s="153" t="s">
        <v>541</v>
      </c>
      <c r="D82" s="153" t="s">
        <v>527</v>
      </c>
      <c r="E82" s="153" t="s">
        <v>528</v>
      </c>
      <c r="F82" s="153" t="s">
        <v>438</v>
      </c>
      <c r="G82" s="153" t="s">
        <v>618</v>
      </c>
      <c r="H82" s="155">
        <v>893</v>
      </c>
      <c r="I82" s="155">
        <v>432</v>
      </c>
      <c r="J82" s="153">
        <v>4</v>
      </c>
    </row>
    <row r="83" spans="1:10" x14ac:dyDescent="0.25">
      <c r="A83" s="150" t="s">
        <v>523</v>
      </c>
      <c r="B83" s="151">
        <v>46080</v>
      </c>
      <c r="C83" s="150" t="s">
        <v>541</v>
      </c>
      <c r="D83" s="150" t="s">
        <v>532</v>
      </c>
      <c r="E83" s="150" t="s">
        <v>533</v>
      </c>
      <c r="F83" s="150" t="s">
        <v>438</v>
      </c>
      <c r="G83" s="150" t="s">
        <v>619</v>
      </c>
      <c r="H83" s="152">
        <v>2107</v>
      </c>
      <c r="I83" s="152">
        <v>432</v>
      </c>
      <c r="J83" s="150">
        <v>4</v>
      </c>
    </row>
    <row r="84" spans="1:10" x14ac:dyDescent="0.25">
      <c r="A84" s="153" t="s">
        <v>523</v>
      </c>
      <c r="B84" s="154">
        <v>46080</v>
      </c>
      <c r="C84" s="153" t="s">
        <v>541</v>
      </c>
      <c r="D84" s="153" t="s">
        <v>532</v>
      </c>
      <c r="E84" s="153" t="s">
        <v>533</v>
      </c>
      <c r="F84" s="153" t="s">
        <v>197</v>
      </c>
      <c r="G84" s="153" t="s">
        <v>620</v>
      </c>
      <c r="H84" s="142"/>
      <c r="I84" s="142"/>
      <c r="J84" s="153">
        <v>4</v>
      </c>
    </row>
    <row r="85" spans="1:10" x14ac:dyDescent="0.25">
      <c r="A85" s="150" t="s">
        <v>523</v>
      </c>
      <c r="B85" s="151">
        <v>46080</v>
      </c>
      <c r="C85" s="150" t="s">
        <v>541</v>
      </c>
      <c r="D85" s="150" t="s">
        <v>532</v>
      </c>
      <c r="E85" s="150" t="s">
        <v>533</v>
      </c>
      <c r="F85" s="150" t="s">
        <v>464</v>
      </c>
      <c r="G85" s="150" t="s">
        <v>621</v>
      </c>
      <c r="H85" s="152">
        <v>2843</v>
      </c>
      <c r="I85" s="152">
        <v>432</v>
      </c>
      <c r="J85" s="150">
        <v>4</v>
      </c>
    </row>
    <row r="86" spans="1:10" x14ac:dyDescent="0.25">
      <c r="A86" s="140" t="s">
        <v>523</v>
      </c>
      <c r="B86" s="141">
        <v>46081</v>
      </c>
      <c r="C86" s="140" t="s">
        <v>526</v>
      </c>
      <c r="D86" s="140" t="s">
        <v>527</v>
      </c>
      <c r="E86" s="140" t="s">
        <v>528</v>
      </c>
      <c r="F86" s="140" t="s">
        <v>464</v>
      </c>
      <c r="G86" s="140" t="s">
        <v>622</v>
      </c>
      <c r="H86" s="146">
        <v>157</v>
      </c>
      <c r="I86" s="146">
        <v>432</v>
      </c>
      <c r="J86" s="140">
        <v>4</v>
      </c>
    </row>
    <row r="87" spans="1:10" x14ac:dyDescent="0.25">
      <c r="A87" s="140" t="s">
        <v>523</v>
      </c>
      <c r="B87" s="141">
        <v>46081</v>
      </c>
      <c r="C87" s="140" t="s">
        <v>526</v>
      </c>
      <c r="D87" s="140" t="s">
        <v>527</v>
      </c>
      <c r="E87" s="140" t="s">
        <v>528</v>
      </c>
      <c r="F87" s="140" t="s">
        <v>197</v>
      </c>
      <c r="G87" s="140" t="s">
        <v>623</v>
      </c>
      <c r="H87" s="142"/>
      <c r="I87" s="142"/>
      <c r="J87" s="140">
        <v>4</v>
      </c>
    </row>
    <row r="88" spans="1:10" x14ac:dyDescent="0.25">
      <c r="A88" s="140" t="s">
        <v>523</v>
      </c>
      <c r="B88" s="141">
        <v>46081</v>
      </c>
      <c r="C88" s="140" t="s">
        <v>526</v>
      </c>
      <c r="D88" s="140" t="s">
        <v>527</v>
      </c>
      <c r="E88" s="140" t="s">
        <v>528</v>
      </c>
      <c r="F88" s="140" t="s">
        <v>465</v>
      </c>
      <c r="G88" s="140" t="s">
        <v>624</v>
      </c>
      <c r="H88" s="146">
        <v>4500</v>
      </c>
      <c r="I88" s="146">
        <v>432</v>
      </c>
      <c r="J88" s="140">
        <v>4</v>
      </c>
    </row>
    <row r="89" spans="1:10" x14ac:dyDescent="0.25">
      <c r="A89" s="140" t="s">
        <v>523</v>
      </c>
      <c r="B89" s="141">
        <v>46081</v>
      </c>
      <c r="C89" s="140" t="s">
        <v>526</v>
      </c>
      <c r="D89" s="140" t="s">
        <v>527</v>
      </c>
      <c r="E89" s="140" t="s">
        <v>528</v>
      </c>
      <c r="F89" s="140" t="s">
        <v>197</v>
      </c>
      <c r="G89" s="140" t="s">
        <v>625</v>
      </c>
      <c r="H89" s="142"/>
      <c r="I89" s="142"/>
      <c r="J89" s="140">
        <v>4</v>
      </c>
    </row>
    <row r="90" spans="1:10" x14ac:dyDescent="0.25">
      <c r="A90" s="140" t="s">
        <v>523</v>
      </c>
      <c r="B90" s="141">
        <v>46081</v>
      </c>
      <c r="C90" s="140" t="s">
        <v>526</v>
      </c>
      <c r="D90" s="140" t="s">
        <v>532</v>
      </c>
      <c r="E90" s="140" t="s">
        <v>533</v>
      </c>
      <c r="F90" s="140" t="s">
        <v>197</v>
      </c>
      <c r="G90" s="140" t="s">
        <v>626</v>
      </c>
      <c r="H90" s="142"/>
      <c r="I90" s="142"/>
      <c r="J90" s="140">
        <v>4</v>
      </c>
    </row>
    <row r="91" spans="1:10" x14ac:dyDescent="0.25">
      <c r="A91" s="140" t="s">
        <v>523</v>
      </c>
      <c r="B91" s="141">
        <v>46081</v>
      </c>
      <c r="C91" s="140" t="s">
        <v>526</v>
      </c>
      <c r="D91" s="140" t="s">
        <v>532</v>
      </c>
      <c r="E91" s="140" t="s">
        <v>533</v>
      </c>
      <c r="F91" s="140" t="s">
        <v>448</v>
      </c>
      <c r="G91" s="140" t="s">
        <v>627</v>
      </c>
      <c r="H91" s="146">
        <v>3000</v>
      </c>
      <c r="I91" s="146">
        <v>432</v>
      </c>
      <c r="J91" s="140">
        <v>4</v>
      </c>
    </row>
    <row r="92" spans="1:10" x14ac:dyDescent="0.25">
      <c r="A92" s="140" t="s">
        <v>523</v>
      </c>
      <c r="B92" s="141">
        <v>46081</v>
      </c>
      <c r="C92" s="140" t="s">
        <v>526</v>
      </c>
      <c r="D92" s="140" t="s">
        <v>532</v>
      </c>
      <c r="E92" s="140" t="s">
        <v>533</v>
      </c>
      <c r="F92" s="140" t="s">
        <v>197</v>
      </c>
      <c r="G92" s="140" t="s">
        <v>628</v>
      </c>
      <c r="H92" s="142"/>
      <c r="I92" s="142"/>
      <c r="J92" s="140">
        <v>4</v>
      </c>
    </row>
    <row r="93" spans="1:10" x14ac:dyDescent="0.25">
      <c r="A93" s="140" t="s">
        <v>523</v>
      </c>
      <c r="B93" s="141">
        <v>46081</v>
      </c>
      <c r="C93" s="140" t="s">
        <v>526</v>
      </c>
      <c r="D93" s="140" t="s">
        <v>532</v>
      </c>
      <c r="E93" s="140" t="s">
        <v>533</v>
      </c>
      <c r="F93" s="140" t="s">
        <v>440</v>
      </c>
      <c r="G93" s="140" t="s">
        <v>629</v>
      </c>
      <c r="H93" s="146">
        <v>1793</v>
      </c>
      <c r="I93" s="146">
        <v>432</v>
      </c>
      <c r="J93" s="140">
        <v>4</v>
      </c>
    </row>
    <row r="94" spans="1:10" x14ac:dyDescent="0.25">
      <c r="A94" s="140" t="s">
        <v>523</v>
      </c>
      <c r="B94" s="141">
        <v>46082</v>
      </c>
      <c r="C94" s="140" t="s">
        <v>538</v>
      </c>
      <c r="D94" s="140" t="s">
        <v>527</v>
      </c>
      <c r="E94" s="140" t="s">
        <v>535</v>
      </c>
      <c r="F94" s="140" t="s">
        <v>440</v>
      </c>
      <c r="G94" s="140" t="s">
        <v>630</v>
      </c>
      <c r="H94" s="146">
        <v>1207</v>
      </c>
      <c r="I94" s="146">
        <v>432</v>
      </c>
      <c r="J94" s="140">
        <v>4</v>
      </c>
    </row>
    <row r="95" spans="1:10" x14ac:dyDescent="0.25">
      <c r="A95" s="140" t="s">
        <v>523</v>
      </c>
      <c r="B95" s="141">
        <v>46082</v>
      </c>
      <c r="C95" s="140" t="s">
        <v>538</v>
      </c>
      <c r="D95" s="140" t="s">
        <v>527</v>
      </c>
      <c r="E95" s="140" t="s">
        <v>535</v>
      </c>
      <c r="F95" s="140" t="s">
        <v>197</v>
      </c>
      <c r="G95" s="140" t="s">
        <v>631</v>
      </c>
      <c r="H95" s="142"/>
      <c r="I95" s="142"/>
      <c r="J95" s="140">
        <v>4</v>
      </c>
    </row>
    <row r="96" spans="1:10" x14ac:dyDescent="0.25">
      <c r="A96" s="140" t="s">
        <v>523</v>
      </c>
      <c r="B96" s="141">
        <v>46082</v>
      </c>
      <c r="C96" s="140" t="s">
        <v>538</v>
      </c>
      <c r="D96" s="140" t="s">
        <v>527</v>
      </c>
      <c r="E96" s="140" t="s">
        <v>535</v>
      </c>
      <c r="F96" s="140" t="s">
        <v>444</v>
      </c>
      <c r="G96" s="140" t="s">
        <v>632</v>
      </c>
      <c r="H96" s="146">
        <v>3000</v>
      </c>
      <c r="I96" s="146">
        <v>432</v>
      </c>
      <c r="J96" s="140">
        <v>4</v>
      </c>
    </row>
    <row r="97" spans="1:10" x14ac:dyDescent="0.25">
      <c r="A97" s="140" t="s">
        <v>523</v>
      </c>
      <c r="B97" s="141">
        <v>46082</v>
      </c>
      <c r="C97" s="140" t="s">
        <v>538</v>
      </c>
      <c r="D97" s="140" t="s">
        <v>527</v>
      </c>
      <c r="E97" s="140" t="s">
        <v>535</v>
      </c>
      <c r="F97" s="140" t="s">
        <v>197</v>
      </c>
      <c r="G97" s="140" t="s">
        <v>633</v>
      </c>
      <c r="H97" s="142"/>
      <c r="I97" s="142"/>
      <c r="J97" s="140">
        <v>4</v>
      </c>
    </row>
    <row r="98" spans="1:10" x14ac:dyDescent="0.25">
      <c r="A98" s="140" t="s">
        <v>523</v>
      </c>
      <c r="B98" s="141">
        <v>46082</v>
      </c>
      <c r="C98" s="140" t="s">
        <v>538</v>
      </c>
      <c r="D98" s="140" t="s">
        <v>527</v>
      </c>
      <c r="E98" s="140" t="s">
        <v>535</v>
      </c>
      <c r="F98" s="140" t="s">
        <v>435</v>
      </c>
      <c r="G98" s="140" t="s">
        <v>625</v>
      </c>
      <c r="H98" s="146">
        <v>293</v>
      </c>
      <c r="I98" s="146">
        <v>432</v>
      </c>
      <c r="J98" s="140">
        <v>4</v>
      </c>
    </row>
    <row r="99" spans="1:10" x14ac:dyDescent="0.25">
      <c r="A99" s="140" t="s">
        <v>523</v>
      </c>
      <c r="B99" s="141">
        <v>46082</v>
      </c>
      <c r="C99" s="140" t="s">
        <v>538</v>
      </c>
      <c r="D99" s="140" t="s">
        <v>532</v>
      </c>
      <c r="E99" s="140" t="s">
        <v>531</v>
      </c>
      <c r="F99" s="140" t="s">
        <v>435</v>
      </c>
      <c r="G99" s="140" t="s">
        <v>634</v>
      </c>
      <c r="H99" s="146">
        <v>2707</v>
      </c>
      <c r="I99" s="146">
        <v>432</v>
      </c>
      <c r="J99" s="140">
        <v>4</v>
      </c>
    </row>
    <row r="100" spans="1:10" x14ac:dyDescent="0.25">
      <c r="A100" s="140" t="s">
        <v>523</v>
      </c>
      <c r="B100" s="141">
        <v>46082</v>
      </c>
      <c r="C100" s="140" t="s">
        <v>538</v>
      </c>
      <c r="D100" s="140" t="s">
        <v>532</v>
      </c>
      <c r="E100" s="140" t="s">
        <v>531</v>
      </c>
      <c r="F100" s="140" t="s">
        <v>197</v>
      </c>
      <c r="G100" s="140" t="s">
        <v>635</v>
      </c>
      <c r="H100" s="142"/>
      <c r="I100" s="142"/>
      <c r="J100" s="140">
        <v>4</v>
      </c>
    </row>
    <row r="101" spans="1:10" x14ac:dyDescent="0.25">
      <c r="A101" s="140" t="s">
        <v>523</v>
      </c>
      <c r="B101" s="141">
        <v>46082</v>
      </c>
      <c r="C101" s="140" t="s">
        <v>538</v>
      </c>
      <c r="D101" s="140" t="s">
        <v>532</v>
      </c>
      <c r="E101" s="140" t="s">
        <v>531</v>
      </c>
      <c r="F101" s="140" t="s">
        <v>479</v>
      </c>
      <c r="G101" s="140" t="s">
        <v>636</v>
      </c>
      <c r="H101" s="146">
        <v>2243</v>
      </c>
      <c r="I101" s="146">
        <v>432</v>
      </c>
      <c r="J101" s="140">
        <v>4</v>
      </c>
    </row>
    <row r="102" spans="1:10" x14ac:dyDescent="0.25">
      <c r="A102" s="153" t="s">
        <v>523</v>
      </c>
      <c r="B102" s="154">
        <v>46083</v>
      </c>
      <c r="C102" s="153" t="s">
        <v>544</v>
      </c>
      <c r="D102" s="153" t="s">
        <v>527</v>
      </c>
      <c r="E102" s="153" t="s">
        <v>535</v>
      </c>
      <c r="F102" s="153" t="s">
        <v>479</v>
      </c>
      <c r="G102" s="153" t="s">
        <v>637</v>
      </c>
      <c r="H102" s="155">
        <v>757</v>
      </c>
      <c r="I102" s="155">
        <v>432</v>
      </c>
      <c r="J102" s="153">
        <v>4</v>
      </c>
    </row>
    <row r="103" spans="1:10" x14ac:dyDescent="0.25">
      <c r="A103" s="150" t="s">
        <v>523</v>
      </c>
      <c r="B103" s="151">
        <v>46083</v>
      </c>
      <c r="C103" s="150" t="s">
        <v>544</v>
      </c>
      <c r="D103" s="150" t="s">
        <v>527</v>
      </c>
      <c r="E103" s="150" t="s">
        <v>535</v>
      </c>
      <c r="F103" s="150" t="s">
        <v>197</v>
      </c>
      <c r="G103" s="150" t="s">
        <v>638</v>
      </c>
      <c r="H103" s="142"/>
      <c r="I103" s="142"/>
      <c r="J103" s="150">
        <v>4</v>
      </c>
    </row>
    <row r="104" spans="1:10" x14ac:dyDescent="0.25">
      <c r="A104" s="153" t="s">
        <v>523</v>
      </c>
      <c r="B104" s="154">
        <v>46083</v>
      </c>
      <c r="C104" s="153" t="s">
        <v>544</v>
      </c>
      <c r="D104" s="153" t="s">
        <v>527</v>
      </c>
      <c r="E104" s="153" t="s">
        <v>535</v>
      </c>
      <c r="F104" s="153" t="s">
        <v>469</v>
      </c>
      <c r="G104" s="153" t="s">
        <v>639</v>
      </c>
      <c r="H104" s="155">
        <v>4193</v>
      </c>
      <c r="I104" s="155">
        <v>432</v>
      </c>
      <c r="J104" s="153">
        <v>4</v>
      </c>
    </row>
    <row r="105" spans="1:10" x14ac:dyDescent="0.25">
      <c r="A105" s="150" t="s">
        <v>523</v>
      </c>
      <c r="B105" s="151">
        <v>46083</v>
      </c>
      <c r="C105" s="150" t="s">
        <v>544</v>
      </c>
      <c r="D105" s="150" t="s">
        <v>532</v>
      </c>
      <c r="E105" s="150" t="s">
        <v>531</v>
      </c>
      <c r="F105" s="150" t="s">
        <v>469</v>
      </c>
      <c r="G105" s="150" t="s">
        <v>640</v>
      </c>
      <c r="H105" s="152">
        <v>4807</v>
      </c>
      <c r="I105" s="152">
        <v>432</v>
      </c>
      <c r="J105" s="150">
        <v>4</v>
      </c>
    </row>
    <row r="106" spans="1:10" x14ac:dyDescent="0.25">
      <c r="A106" s="153" t="s">
        <v>523</v>
      </c>
      <c r="B106" s="154">
        <v>46083</v>
      </c>
      <c r="C106" s="153" t="s">
        <v>544</v>
      </c>
      <c r="D106" s="153" t="s">
        <v>532</v>
      </c>
      <c r="E106" s="153" t="s">
        <v>531</v>
      </c>
      <c r="F106" s="153" t="s">
        <v>197</v>
      </c>
      <c r="G106" s="153" t="s">
        <v>641</v>
      </c>
      <c r="H106" s="142"/>
      <c r="I106" s="142"/>
      <c r="J106" s="153">
        <v>4</v>
      </c>
    </row>
    <row r="107" spans="1:10" x14ac:dyDescent="0.25">
      <c r="A107" s="150" t="s">
        <v>523</v>
      </c>
      <c r="B107" s="151">
        <v>46083</v>
      </c>
      <c r="C107" s="150" t="s">
        <v>544</v>
      </c>
      <c r="D107" s="150" t="s">
        <v>532</v>
      </c>
      <c r="E107" s="150" t="s">
        <v>531</v>
      </c>
      <c r="F107" s="150" t="s">
        <v>472</v>
      </c>
      <c r="G107" s="150" t="s">
        <v>642</v>
      </c>
      <c r="H107" s="152">
        <v>143</v>
      </c>
      <c r="I107" s="152">
        <v>432</v>
      </c>
      <c r="J107" s="150">
        <v>4</v>
      </c>
    </row>
    <row r="108" spans="1:10" x14ac:dyDescent="0.25">
      <c r="A108" s="153" t="s">
        <v>523</v>
      </c>
      <c r="B108" s="154">
        <v>46084</v>
      </c>
      <c r="C108" s="153" t="s">
        <v>549</v>
      </c>
      <c r="D108" s="153" t="s">
        <v>527</v>
      </c>
      <c r="E108" s="153" t="s">
        <v>533</v>
      </c>
      <c r="F108" s="153" t="s">
        <v>472</v>
      </c>
      <c r="G108" s="153" t="s">
        <v>643</v>
      </c>
      <c r="H108" s="155">
        <v>2857</v>
      </c>
      <c r="I108" s="155">
        <v>432</v>
      </c>
      <c r="J108" s="153">
        <v>4</v>
      </c>
    </row>
    <row r="109" spans="1:10" x14ac:dyDescent="0.25">
      <c r="A109" s="150" t="s">
        <v>523</v>
      </c>
      <c r="B109" s="151">
        <v>46084</v>
      </c>
      <c r="C109" s="150" t="s">
        <v>549</v>
      </c>
      <c r="D109" s="150" t="s">
        <v>527</v>
      </c>
      <c r="E109" s="150" t="s">
        <v>533</v>
      </c>
      <c r="F109" s="150" t="s">
        <v>197</v>
      </c>
      <c r="G109" s="150" t="s">
        <v>644</v>
      </c>
      <c r="H109" s="142"/>
      <c r="I109" s="142"/>
      <c r="J109" s="150">
        <v>4</v>
      </c>
    </row>
    <row r="110" spans="1:10" x14ac:dyDescent="0.25">
      <c r="A110" s="153" t="s">
        <v>523</v>
      </c>
      <c r="B110" s="154">
        <v>46084</v>
      </c>
      <c r="C110" s="153" t="s">
        <v>549</v>
      </c>
      <c r="D110" s="153" t="s">
        <v>527</v>
      </c>
      <c r="E110" s="153" t="s">
        <v>533</v>
      </c>
      <c r="F110" s="153" t="s">
        <v>446</v>
      </c>
      <c r="G110" s="153" t="s">
        <v>645</v>
      </c>
      <c r="H110" s="155">
        <v>2093</v>
      </c>
      <c r="I110" s="155">
        <v>432</v>
      </c>
      <c r="J110" s="153">
        <v>4</v>
      </c>
    </row>
    <row r="111" spans="1:10" x14ac:dyDescent="0.25">
      <c r="A111" s="150" t="s">
        <v>523</v>
      </c>
      <c r="B111" s="151">
        <v>46084</v>
      </c>
      <c r="C111" s="150" t="s">
        <v>549</v>
      </c>
      <c r="D111" s="150" t="s">
        <v>532</v>
      </c>
      <c r="E111" s="150" t="s">
        <v>528</v>
      </c>
      <c r="F111" s="150" t="s">
        <v>446</v>
      </c>
      <c r="G111" s="150" t="s">
        <v>646</v>
      </c>
      <c r="H111" s="152">
        <v>907</v>
      </c>
      <c r="I111" s="152">
        <v>432</v>
      </c>
      <c r="J111" s="150">
        <v>4</v>
      </c>
    </row>
    <row r="112" spans="1:10" x14ac:dyDescent="0.25">
      <c r="A112" s="153" t="s">
        <v>523</v>
      </c>
      <c r="B112" s="154">
        <v>46084</v>
      </c>
      <c r="C112" s="153" t="s">
        <v>549</v>
      </c>
      <c r="D112" s="153" t="s">
        <v>532</v>
      </c>
      <c r="E112" s="153" t="s">
        <v>528</v>
      </c>
      <c r="F112" s="153" t="s">
        <v>153</v>
      </c>
      <c r="G112" s="153" t="s">
        <v>647</v>
      </c>
      <c r="H112" s="142"/>
      <c r="I112" s="142"/>
      <c r="J112" s="153">
        <v>4</v>
      </c>
    </row>
    <row r="113" spans="1:10" x14ac:dyDescent="0.25">
      <c r="A113" s="150" t="s">
        <v>523</v>
      </c>
      <c r="B113" s="151">
        <v>46084</v>
      </c>
      <c r="C113" s="150" t="s">
        <v>549</v>
      </c>
      <c r="D113" s="150" t="s">
        <v>532</v>
      </c>
      <c r="E113" s="150" t="s">
        <v>528</v>
      </c>
      <c r="F113" s="150" t="s">
        <v>442</v>
      </c>
      <c r="G113" s="150" t="s">
        <v>648</v>
      </c>
      <c r="H113" s="152">
        <v>3000</v>
      </c>
      <c r="I113" s="152">
        <v>432</v>
      </c>
      <c r="J113" s="150">
        <v>4</v>
      </c>
    </row>
    <row r="114" spans="1:10" x14ac:dyDescent="0.25">
      <c r="A114" s="153" t="s">
        <v>523</v>
      </c>
      <c r="B114" s="154">
        <v>46084</v>
      </c>
      <c r="C114" s="153" t="s">
        <v>549</v>
      </c>
      <c r="D114" s="153" t="s">
        <v>532</v>
      </c>
      <c r="E114" s="153" t="s">
        <v>528</v>
      </c>
      <c r="F114" s="153" t="s">
        <v>197</v>
      </c>
      <c r="G114" s="153" t="s">
        <v>649</v>
      </c>
      <c r="H114" s="142"/>
      <c r="I114" s="142"/>
      <c r="J114" s="153">
        <v>4</v>
      </c>
    </row>
    <row r="115" spans="1:10" x14ac:dyDescent="0.25">
      <c r="A115" s="150" t="s">
        <v>523</v>
      </c>
      <c r="B115" s="151">
        <v>46084</v>
      </c>
      <c r="C115" s="150" t="s">
        <v>549</v>
      </c>
      <c r="D115" s="150" t="s">
        <v>532</v>
      </c>
      <c r="E115" s="150" t="s">
        <v>528</v>
      </c>
      <c r="F115" s="150" t="s">
        <v>480</v>
      </c>
      <c r="G115" s="150" t="s">
        <v>650</v>
      </c>
      <c r="H115" s="152">
        <v>368</v>
      </c>
      <c r="I115" s="152">
        <v>432</v>
      </c>
      <c r="J115" s="150">
        <v>4</v>
      </c>
    </row>
    <row r="116" spans="1:10" x14ac:dyDescent="0.25">
      <c r="A116" s="153" t="s">
        <v>523</v>
      </c>
      <c r="B116" s="154">
        <v>46085</v>
      </c>
      <c r="C116" s="153" t="s">
        <v>530</v>
      </c>
      <c r="D116" s="153" t="s">
        <v>527</v>
      </c>
      <c r="E116" s="153" t="s">
        <v>533</v>
      </c>
      <c r="F116" s="153" t="s">
        <v>480</v>
      </c>
      <c r="G116" s="153" t="s">
        <v>651</v>
      </c>
      <c r="H116" s="155">
        <v>2632</v>
      </c>
      <c r="I116" s="155">
        <v>432</v>
      </c>
      <c r="J116" s="153">
        <v>4</v>
      </c>
    </row>
    <row r="117" spans="1:10" x14ac:dyDescent="0.25">
      <c r="A117" s="150" t="s">
        <v>523</v>
      </c>
      <c r="B117" s="151">
        <v>46085</v>
      </c>
      <c r="C117" s="150" t="s">
        <v>530</v>
      </c>
      <c r="D117" s="150" t="s">
        <v>527</v>
      </c>
      <c r="E117" s="150" t="s">
        <v>533</v>
      </c>
      <c r="F117" s="150" t="s">
        <v>197</v>
      </c>
      <c r="G117" s="150" t="s">
        <v>652</v>
      </c>
      <c r="H117" s="142"/>
      <c r="I117" s="142"/>
      <c r="J117" s="150">
        <v>4</v>
      </c>
    </row>
    <row r="118" spans="1:10" x14ac:dyDescent="0.25">
      <c r="A118" s="153" t="s">
        <v>523</v>
      </c>
      <c r="B118" s="154">
        <v>46085</v>
      </c>
      <c r="C118" s="153" t="s">
        <v>530</v>
      </c>
      <c r="D118" s="153" t="s">
        <v>527</v>
      </c>
      <c r="E118" s="153" t="s">
        <v>533</v>
      </c>
      <c r="F118" s="153" t="s">
        <v>477</v>
      </c>
      <c r="G118" s="153" t="s">
        <v>653</v>
      </c>
      <c r="H118" s="155">
        <v>2318</v>
      </c>
      <c r="I118" s="155">
        <v>432</v>
      </c>
      <c r="J118" s="153">
        <v>4</v>
      </c>
    </row>
    <row r="119" spans="1:10" x14ac:dyDescent="0.25">
      <c r="A119" s="150" t="s">
        <v>523</v>
      </c>
      <c r="B119" s="151">
        <v>46085</v>
      </c>
      <c r="C119" s="150" t="s">
        <v>530</v>
      </c>
      <c r="D119" s="150" t="s">
        <v>532</v>
      </c>
      <c r="E119" s="150" t="s">
        <v>528</v>
      </c>
      <c r="F119" s="150" t="s">
        <v>477</v>
      </c>
      <c r="G119" s="150" t="s">
        <v>654</v>
      </c>
      <c r="H119" s="152">
        <v>682</v>
      </c>
      <c r="I119" s="152">
        <v>432</v>
      </c>
      <c r="J119" s="150">
        <v>4</v>
      </c>
    </row>
    <row r="120" spans="1:10" x14ac:dyDescent="0.25">
      <c r="A120" s="153" t="s">
        <v>523</v>
      </c>
      <c r="B120" s="154">
        <v>46085</v>
      </c>
      <c r="C120" s="153" t="s">
        <v>530</v>
      </c>
      <c r="D120" s="153" t="s">
        <v>532</v>
      </c>
      <c r="E120" s="153" t="s">
        <v>528</v>
      </c>
      <c r="F120" s="153" t="s">
        <v>197</v>
      </c>
      <c r="G120" s="153" t="s">
        <v>655</v>
      </c>
      <c r="H120" s="142"/>
      <c r="I120" s="142"/>
      <c r="J120" s="153">
        <v>4</v>
      </c>
    </row>
    <row r="121" spans="1:10" x14ac:dyDescent="0.25">
      <c r="A121" s="150" t="s">
        <v>523</v>
      </c>
      <c r="B121" s="151">
        <v>46085</v>
      </c>
      <c r="C121" s="150" t="s">
        <v>530</v>
      </c>
      <c r="D121" s="150" t="s">
        <v>532</v>
      </c>
      <c r="E121" s="150" t="s">
        <v>528</v>
      </c>
      <c r="F121" s="150" t="s">
        <v>445</v>
      </c>
      <c r="G121" s="150" t="s">
        <v>656</v>
      </c>
      <c r="H121" s="152">
        <v>3000</v>
      </c>
      <c r="I121" s="152">
        <v>432</v>
      </c>
      <c r="J121" s="150">
        <v>4</v>
      </c>
    </row>
    <row r="122" spans="1:10" x14ac:dyDescent="0.25">
      <c r="A122" s="153" t="s">
        <v>523</v>
      </c>
      <c r="B122" s="154">
        <v>46085</v>
      </c>
      <c r="C122" s="153" t="s">
        <v>530</v>
      </c>
      <c r="D122" s="153" t="s">
        <v>532</v>
      </c>
      <c r="E122" s="153" t="s">
        <v>528</v>
      </c>
      <c r="F122" s="153" t="s">
        <v>197</v>
      </c>
      <c r="G122" s="153" t="s">
        <v>657</v>
      </c>
      <c r="H122" s="142"/>
      <c r="I122" s="142"/>
      <c r="J122" s="153">
        <v>4</v>
      </c>
    </row>
    <row r="123" spans="1:10" x14ac:dyDescent="0.25">
      <c r="A123" s="150" t="s">
        <v>523</v>
      </c>
      <c r="B123" s="151">
        <v>46085</v>
      </c>
      <c r="C123" s="150" t="s">
        <v>530</v>
      </c>
      <c r="D123" s="150" t="s">
        <v>532</v>
      </c>
      <c r="E123" s="150" t="s">
        <v>528</v>
      </c>
      <c r="F123" s="150" t="s">
        <v>468</v>
      </c>
      <c r="G123" s="150" t="s">
        <v>658</v>
      </c>
      <c r="H123" s="152">
        <v>818</v>
      </c>
      <c r="I123" s="152">
        <v>432</v>
      </c>
      <c r="J123" s="150">
        <v>4</v>
      </c>
    </row>
    <row r="124" spans="1:10" x14ac:dyDescent="0.25">
      <c r="A124" s="153" t="s">
        <v>523</v>
      </c>
      <c r="B124" s="154">
        <v>46086</v>
      </c>
      <c r="C124" s="153" t="s">
        <v>537</v>
      </c>
      <c r="D124" s="153" t="s">
        <v>527</v>
      </c>
      <c r="E124" s="153" t="s">
        <v>531</v>
      </c>
      <c r="F124" s="153" t="s">
        <v>468</v>
      </c>
      <c r="G124" s="153" t="s">
        <v>659</v>
      </c>
      <c r="H124" s="155">
        <v>5182</v>
      </c>
      <c r="I124" s="155">
        <v>432</v>
      </c>
      <c r="J124" s="153">
        <v>4</v>
      </c>
    </row>
    <row r="125" spans="1:10" x14ac:dyDescent="0.25">
      <c r="A125" s="150" t="s">
        <v>523</v>
      </c>
      <c r="B125" s="151">
        <v>46086</v>
      </c>
      <c r="C125" s="150" t="s">
        <v>537</v>
      </c>
      <c r="D125" s="150" t="s">
        <v>527</v>
      </c>
      <c r="E125" s="150" t="s">
        <v>531</v>
      </c>
      <c r="F125" s="150" t="s">
        <v>153</v>
      </c>
      <c r="G125" s="150" t="s">
        <v>660</v>
      </c>
      <c r="H125" s="142"/>
      <c r="I125" s="142"/>
      <c r="J125" s="150">
        <v>4</v>
      </c>
    </row>
    <row r="126" spans="1:10" x14ac:dyDescent="0.25">
      <c r="A126" s="153" t="s">
        <v>523</v>
      </c>
      <c r="B126" s="154">
        <v>46086</v>
      </c>
      <c r="C126" s="153" t="s">
        <v>537</v>
      </c>
      <c r="D126" s="153" t="s">
        <v>532</v>
      </c>
      <c r="E126" s="153" t="s">
        <v>535</v>
      </c>
      <c r="F126" s="153" t="s">
        <v>153</v>
      </c>
      <c r="G126" s="153" t="s">
        <v>661</v>
      </c>
      <c r="H126" s="142"/>
      <c r="I126" s="142"/>
      <c r="J126" s="153">
        <v>4</v>
      </c>
    </row>
    <row r="127" spans="1:10" x14ac:dyDescent="0.25">
      <c r="A127" s="150" t="s">
        <v>523</v>
      </c>
      <c r="B127" s="151">
        <v>46086</v>
      </c>
      <c r="C127" s="150" t="s">
        <v>537</v>
      </c>
      <c r="D127" s="150" t="s">
        <v>532</v>
      </c>
      <c r="E127" s="150" t="s">
        <v>535</v>
      </c>
      <c r="F127" s="150" t="s">
        <v>461</v>
      </c>
      <c r="G127" s="150" t="s">
        <v>662</v>
      </c>
      <c r="H127" s="152">
        <v>4943</v>
      </c>
      <c r="I127" s="152">
        <v>432</v>
      </c>
      <c r="J127" s="150">
        <v>4</v>
      </c>
    </row>
    <row r="128" spans="1:10" x14ac:dyDescent="0.25">
      <c r="A128" s="153" t="s">
        <v>523</v>
      </c>
      <c r="B128" s="154">
        <v>46087</v>
      </c>
      <c r="C128" s="153" t="s">
        <v>541</v>
      </c>
      <c r="D128" s="153" t="s">
        <v>527</v>
      </c>
      <c r="E128" s="153" t="s">
        <v>531</v>
      </c>
      <c r="F128" s="153" t="s">
        <v>461</v>
      </c>
      <c r="G128" s="153" t="s">
        <v>545</v>
      </c>
      <c r="H128" s="155">
        <v>5400</v>
      </c>
      <c r="I128" s="155">
        <v>432</v>
      </c>
      <c r="J128" s="153">
        <v>4</v>
      </c>
    </row>
    <row r="129" spans="1:10" x14ac:dyDescent="0.25">
      <c r="A129" s="150" t="s">
        <v>523</v>
      </c>
      <c r="B129" s="151">
        <v>46087</v>
      </c>
      <c r="C129" s="150" t="s">
        <v>541</v>
      </c>
      <c r="D129" s="150" t="s">
        <v>532</v>
      </c>
      <c r="E129" s="150" t="s">
        <v>535</v>
      </c>
      <c r="F129" s="150" t="s">
        <v>461</v>
      </c>
      <c r="G129" s="150" t="s">
        <v>626</v>
      </c>
      <c r="H129" s="152">
        <v>157</v>
      </c>
      <c r="I129" s="152">
        <v>432</v>
      </c>
      <c r="J129" s="150">
        <v>4</v>
      </c>
    </row>
    <row r="130" spans="1:10" x14ac:dyDescent="0.25">
      <c r="A130" s="153" t="s">
        <v>523</v>
      </c>
      <c r="B130" s="154">
        <v>46087</v>
      </c>
      <c r="C130" s="153" t="s">
        <v>541</v>
      </c>
      <c r="D130" s="153" t="s">
        <v>532</v>
      </c>
      <c r="E130" s="153" t="s">
        <v>535</v>
      </c>
      <c r="F130" s="153" t="s">
        <v>197</v>
      </c>
      <c r="G130" s="153" t="s">
        <v>663</v>
      </c>
      <c r="H130" s="142"/>
      <c r="I130" s="142"/>
      <c r="J130" s="153">
        <v>4</v>
      </c>
    </row>
    <row r="131" spans="1:10" x14ac:dyDescent="0.25">
      <c r="A131" s="150" t="s">
        <v>523</v>
      </c>
      <c r="B131" s="151">
        <v>46087</v>
      </c>
      <c r="C131" s="150" t="s">
        <v>541</v>
      </c>
      <c r="D131" s="150" t="s">
        <v>532</v>
      </c>
      <c r="E131" s="150" t="s">
        <v>535</v>
      </c>
      <c r="F131" s="150" t="s">
        <v>481</v>
      </c>
      <c r="G131" s="150" t="s">
        <v>664</v>
      </c>
      <c r="H131" s="152">
        <v>3000</v>
      </c>
      <c r="I131" s="152">
        <v>432</v>
      </c>
      <c r="J131" s="150">
        <v>4</v>
      </c>
    </row>
    <row r="132" spans="1:10" x14ac:dyDescent="0.25">
      <c r="A132" s="153" t="s">
        <v>523</v>
      </c>
      <c r="B132" s="154">
        <v>46087</v>
      </c>
      <c r="C132" s="153" t="s">
        <v>541</v>
      </c>
      <c r="D132" s="153" t="s">
        <v>532</v>
      </c>
      <c r="E132" s="153" t="s">
        <v>535</v>
      </c>
      <c r="F132" s="153" t="s">
        <v>197</v>
      </c>
      <c r="G132" s="153" t="s">
        <v>665</v>
      </c>
      <c r="H132" s="142"/>
      <c r="I132" s="142"/>
      <c r="J132" s="153">
        <v>4</v>
      </c>
    </row>
    <row r="133" spans="1:10" x14ac:dyDescent="0.25">
      <c r="A133" s="150" t="s">
        <v>523</v>
      </c>
      <c r="B133" s="151">
        <v>46087</v>
      </c>
      <c r="C133" s="150" t="s">
        <v>541</v>
      </c>
      <c r="D133" s="150" t="s">
        <v>532</v>
      </c>
      <c r="E133" s="150" t="s">
        <v>535</v>
      </c>
      <c r="F133" s="150" t="s">
        <v>482</v>
      </c>
      <c r="G133" s="150" t="s">
        <v>666</v>
      </c>
      <c r="H133" s="152">
        <v>1343</v>
      </c>
      <c r="I133" s="152">
        <v>432</v>
      </c>
      <c r="J133" s="150">
        <v>4</v>
      </c>
    </row>
    <row r="134" spans="1:10" x14ac:dyDescent="0.25">
      <c r="A134" s="140" t="s">
        <v>523</v>
      </c>
      <c r="B134" s="141">
        <v>46088</v>
      </c>
      <c r="C134" s="140" t="s">
        <v>526</v>
      </c>
      <c r="D134" s="140" t="s">
        <v>527</v>
      </c>
      <c r="E134" s="140" t="s">
        <v>528</v>
      </c>
      <c r="F134" s="140" t="s">
        <v>482</v>
      </c>
      <c r="G134" s="140" t="s">
        <v>667</v>
      </c>
      <c r="H134" s="146">
        <v>1657</v>
      </c>
      <c r="I134" s="146">
        <v>432</v>
      </c>
      <c r="J134" s="140">
        <v>4</v>
      </c>
    </row>
    <row r="135" spans="1:10" x14ac:dyDescent="0.25">
      <c r="A135" s="140" t="s">
        <v>523</v>
      </c>
      <c r="B135" s="141">
        <v>46088</v>
      </c>
      <c r="C135" s="140" t="s">
        <v>526</v>
      </c>
      <c r="D135" s="140" t="s">
        <v>527</v>
      </c>
      <c r="E135" s="140" t="s">
        <v>528</v>
      </c>
      <c r="F135" s="140" t="s">
        <v>153</v>
      </c>
      <c r="G135" s="140" t="s">
        <v>668</v>
      </c>
      <c r="H135" s="142"/>
      <c r="I135" s="142"/>
      <c r="J135" s="140">
        <v>4</v>
      </c>
    </row>
    <row r="136" spans="1:10" x14ac:dyDescent="0.25">
      <c r="A136" s="140" t="s">
        <v>523</v>
      </c>
      <c r="B136" s="141">
        <v>46088</v>
      </c>
      <c r="C136" s="140" t="s">
        <v>526</v>
      </c>
      <c r="D136" s="140" t="s">
        <v>527</v>
      </c>
      <c r="E136" s="140" t="s">
        <v>528</v>
      </c>
      <c r="F136" s="140" t="s">
        <v>483</v>
      </c>
      <c r="G136" s="140" t="s">
        <v>669</v>
      </c>
      <c r="H136" s="146">
        <v>3068</v>
      </c>
      <c r="I136" s="146">
        <v>432</v>
      </c>
      <c r="J136" s="140">
        <v>4</v>
      </c>
    </row>
    <row r="137" spans="1:10" x14ac:dyDescent="0.25">
      <c r="A137" s="140" t="s">
        <v>523</v>
      </c>
      <c r="B137" s="141">
        <v>46088</v>
      </c>
      <c r="C137" s="140" t="s">
        <v>526</v>
      </c>
      <c r="D137" s="140" t="s">
        <v>532</v>
      </c>
      <c r="E137" s="140" t="s">
        <v>533</v>
      </c>
      <c r="F137" s="140" t="s">
        <v>483</v>
      </c>
      <c r="G137" s="140" t="s">
        <v>670</v>
      </c>
      <c r="H137" s="146">
        <v>2932</v>
      </c>
      <c r="I137" s="146">
        <v>432</v>
      </c>
      <c r="J137" s="140">
        <v>4</v>
      </c>
    </row>
    <row r="138" spans="1:10" x14ac:dyDescent="0.25">
      <c r="A138" s="140" t="s">
        <v>523</v>
      </c>
      <c r="B138" s="141">
        <v>46088</v>
      </c>
      <c r="C138" s="140" t="s">
        <v>526</v>
      </c>
      <c r="D138" s="140" t="s">
        <v>532</v>
      </c>
      <c r="E138" s="140" t="s">
        <v>533</v>
      </c>
      <c r="F138" s="140" t="s">
        <v>197</v>
      </c>
      <c r="G138" s="140" t="s">
        <v>671</v>
      </c>
      <c r="H138" s="142"/>
      <c r="I138" s="142"/>
      <c r="J138" s="140">
        <v>4</v>
      </c>
    </row>
    <row r="139" spans="1:10" x14ac:dyDescent="0.25">
      <c r="A139" s="140" t="s">
        <v>523</v>
      </c>
      <c r="B139" s="141">
        <v>46088</v>
      </c>
      <c r="C139" s="140" t="s">
        <v>526</v>
      </c>
      <c r="D139" s="140" t="s">
        <v>532</v>
      </c>
      <c r="E139" s="140" t="s">
        <v>533</v>
      </c>
      <c r="F139" s="140" t="s">
        <v>484</v>
      </c>
      <c r="G139" s="140" t="s">
        <v>672</v>
      </c>
      <c r="H139" s="146">
        <v>2018</v>
      </c>
      <c r="I139" s="146">
        <v>432</v>
      </c>
      <c r="J139" s="140">
        <v>4</v>
      </c>
    </row>
    <row r="140" spans="1:10" x14ac:dyDescent="0.25">
      <c r="A140" s="140" t="s">
        <v>523</v>
      </c>
      <c r="B140" s="141">
        <v>46089</v>
      </c>
      <c r="C140" s="140" t="s">
        <v>538</v>
      </c>
      <c r="D140" s="140" t="s">
        <v>527</v>
      </c>
      <c r="E140" s="140" t="s">
        <v>528</v>
      </c>
      <c r="F140" s="140" t="s">
        <v>484</v>
      </c>
      <c r="G140" s="140" t="s">
        <v>673</v>
      </c>
      <c r="H140" s="146">
        <v>3982</v>
      </c>
      <c r="I140" s="146">
        <v>432</v>
      </c>
      <c r="J140" s="140">
        <v>4</v>
      </c>
    </row>
    <row r="141" spans="1:10" x14ac:dyDescent="0.25">
      <c r="A141" s="140" t="s">
        <v>523</v>
      </c>
      <c r="B141" s="141">
        <v>46089</v>
      </c>
      <c r="C141" s="140" t="s">
        <v>538</v>
      </c>
      <c r="D141" s="140" t="s">
        <v>527</v>
      </c>
      <c r="E141" s="140" t="s">
        <v>528</v>
      </c>
      <c r="F141" s="140" t="s">
        <v>153</v>
      </c>
      <c r="G141" s="140" t="s">
        <v>674</v>
      </c>
      <c r="H141" s="142"/>
      <c r="I141" s="142"/>
      <c r="J141" s="14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Справочник</vt:lpstr>
      <vt:lpstr>Линия 1</vt:lpstr>
      <vt:lpstr>Линия 2</vt:lpstr>
      <vt:lpstr>Линия 3</vt:lpstr>
      <vt:lpstr>Линия 4</vt:lpstr>
      <vt:lpstr>Линия 5 Сиропы</vt:lpstr>
      <vt:lpstr>Линия 6 В in B</vt:lpstr>
      <vt:lpstr>Линия 7 Топинги</vt:lpstr>
      <vt:lpstr>Линия 9 Пюре</vt:lpstr>
      <vt:lpstr>Линия 8 Соусы</vt:lpstr>
      <vt:lpstr>Линия 10 ПЭТ</vt:lpstr>
      <vt:lpstr>Линия 11 Лимонады</vt:lpstr>
      <vt:lpstr>Линия 12 КС</vt:lpstr>
      <vt:lpstr>Переборка До-До</vt:lpstr>
      <vt:lpstr>Расписание по сменам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Глушук Богдан Юрьевич</dc:creator>
  <cp:lastModifiedBy>Глушук Богдан Юрьевич</cp:lastModifiedBy>
  <dcterms:created xsi:type="dcterms:W3CDTF">2026-02-25T08:26:42Z</dcterms:created>
  <dcterms:modified xsi:type="dcterms:W3CDTF">2026-02-25T11:19:01Z</dcterms:modified>
</cp:coreProperties>
</file>